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theGuide" sheetId="2" r:id="rId2"/>
    <sheet name="Working Today" sheetId="3" r:id="rId3"/>
    <sheet name="Clean View" sheetId="4" r:id="rId4"/>
    <sheet name="Teams" sheetId="5" r:id="rId5"/>
    <sheet name="Import Batches" sheetId="6" r:id="rId6"/>
    <sheet name="Schedule_Data" sheetId="7" r:id="rId7"/>
    <sheet name="Sources" sheetId="8" r:id="rId8"/>
    <sheet name="Sync Log" sheetId="9" r:id="rId9"/>
    <sheet name="Workbook Meta" sheetId="10" r:id="rId10"/>
    <sheet name="Test Scenarios" sheetId="11" r:id="rId11"/>
    <sheet name="Lists" sheetId="12" r:id="rId12"/>
    <sheet name="Pack Manifest"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t="str">
        <v>SCHEDULEHUB - schedule of record</v>
      </c>
    </row>
    <row r="2">
      <c r="A2" t="str">
        <v>every department · one shape: person, date, start/end, off   ·   Ordo ex Tabulis</v>
      </c>
    </row>
    <row r="4">
      <c r="A4">
        <f>COUNTIF(Schedule_Data!$A$2:$A$99999,"SCH-*")</f>
        <v>0</v>
      </c>
      <c r="D4" t="str">
        <v>—</v>
      </c>
      <c r="G4" t="str">
        <v>—</v>
      </c>
      <c r="J4">
        <f>COUNTIF(Teams!$A$2:$A$999,"T-*")</f>
        <v>0</v>
      </c>
    </row>
    <row r="5">
      <c r="A5" t="str">
        <v>SCHEDULE ROWS</v>
      </c>
      <c r="D5" t="str">
        <v>DEPARTMENTS</v>
      </c>
      <c r="G5" t="str">
        <v>PEOPLE LINKED</v>
      </c>
      <c r="J5" t="str">
        <v>TEAMS</v>
      </c>
    </row>
    <row r="7">
      <c r="A7" t="str">
        <v>HOW TO READ THIS WORKBOOK</v>
      </c>
    </row>
    <row r="8">
      <c r="A8" t="str">
        <v>•  Working Today: type a date, see who is on. Clean View: one person, one month.</v>
      </c>
    </row>
    <row r="9">
      <c r="A9" t="str">
        <v>•  Schedule_Data (gray, at the end) is the canonical machine table both apps read.</v>
      </c>
    </row>
    <row r="10">
      <c r="A10" t="str">
        <v>•  Every row carries person_id, source lineage and authority rank — imports never silently overwrite.</v>
      </c>
    </row>
    <row r="12">
      <c r="A12" t="str">
        <v>Green tabs = you edit. Mint tabs = views (no typing). Gold tabs = governance. Gray tabs = machine data for Sync / Sync Ops.</v>
      </c>
    </row>
  </sheetData>
  <mergeCells count="15">
    <mergeCell ref="A4:B4"/>
    <mergeCell ref="G4:H4"/>
    <mergeCell ref="A1:J1"/>
    <mergeCell ref="J4:K4"/>
    <mergeCell ref="A8:J8"/>
    <mergeCell ref="J5:K5"/>
    <mergeCell ref="A9:J9"/>
    <mergeCell ref="D5:E5"/>
    <mergeCell ref="A5:B5"/>
    <mergeCell ref="G5:H5"/>
    <mergeCell ref="A12:J12"/>
    <mergeCell ref="A7:J7"/>
    <mergeCell ref="D4:E4"/>
    <mergeCell ref="A2:J2"/>
    <mergeCell ref="A10:J10"/>
  </mergeCells>
  <pageMargins left="0.7" right="0.7" top="0.75" bottom="0.75" header="0.3" footer="0.3"/>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H12"/>
  <sheetViews>
    <sheetView workbookViewId="0" rightToLeft="0"/>
  </sheetViews>
  <sheetData>
    <row r="1">
      <c r="A1" t="str">
        <v>theGuide - ScheduleHub</v>
      </c>
    </row>
    <row r="2">
      <c r="A2" t="str">
        <v>how this workbook works   ·   Ordo ex Tabulis</v>
      </c>
    </row>
    <row r="4">
      <c r="A4" t="str">
        <v>Read top to bottom once. Every tab also has its own hints. Green tabs are yours to edit, mint tabs are views, gold tabs are governance, gray tabs are machine data - you rarely need them.</v>
      </c>
    </row>
    <row r="6">
      <c r="A6" t="str">
        <v>What this is</v>
      </c>
      <c r="B6" t="str">
        <v>Schedule-of-record for every department, one shape: person, date, start and end, off flag.</v>
      </c>
    </row>
    <row r="7">
      <c r="A7" t="str">
        <v>Working Today</v>
      </c>
      <c r="B7" t="str">
        <v>Pick a date at the top; the sheet lists everyone scheduled that day.</v>
      </c>
    </row>
    <row r="8">
      <c r="A8" t="str">
        <v>Clean View</v>
      </c>
      <c r="B8" t="str">
        <v>Pick a person and month for a readable schedule.</v>
      </c>
    </row>
    <row r="9">
      <c r="A9" t="str">
        <v>Schedule_Data</v>
      </c>
      <c r="B9" t="str">
        <v>The canonical table. One row per person per date, keyed by person_id + date. Apps write here through import batches, never by hand.</v>
      </c>
    </row>
    <row r="10">
      <c r="A10" t="str">
        <v>Import Batches</v>
      </c>
      <c r="B10" t="str">
        <v>Every sync run lands as a batch with source lineage, so any import can be traced or rolled back.</v>
      </c>
    </row>
    <row r="12">
      <c r="A12" t="str">
        <v>v3.1 pack behavior</v>
      </c>
      <c r="B12" t="str">
        <v>Month tabs are generated for the selected export range. Each file carries the same pack manifest and can be reconciled back into Sync by immutable IDs.</v>
      </c>
    </row>
  </sheetData>
  <mergeCells count="9">
    <mergeCell ref="A4:H4"/>
    <mergeCell ref="B8:H8"/>
    <mergeCell ref="B9:H9"/>
    <mergeCell ref="A2:H2"/>
    <mergeCell ref="B6:H6"/>
    <mergeCell ref="B7:H7"/>
    <mergeCell ref="A1:H1"/>
    <mergeCell ref="B10:H10"/>
    <mergeCell ref="B12:H12"/>
  </mergeCells>
  <pageMargins left="0.7" right="0.7" top="0.75" bottom="0.75" header="0.3" footer="0.3"/>
  <ignoredErrors>
    <ignoredError numberStoredAsText="1" sqref="A1:H12"/>
  </ignoredErrors>
</worksheet>
</file>

<file path=xl/worksheets/sheet3.xml><?xml version="1.0" encoding="utf-8"?>
<worksheet xmlns="http://schemas.openxmlformats.org/spreadsheetml/2006/main" xmlns:r="http://schemas.openxmlformats.org/officeDocument/2006/relationships">
  <dimension ref="A1:H6"/>
  <sheetViews>
    <sheetView workbookViewId="0" rightToLeft="0"/>
  </sheetViews>
  <sheetData>
    <row r="1">
      <c r="A1" t="str">
        <v>WORKING TODAY</v>
      </c>
    </row>
    <row r="2">
      <c r="A2" t="str">
        <v>type a date below (yyyy-mm-dd) - the list follows it   ·   Ordo ex Tabulis</v>
      </c>
    </row>
    <row r="4">
      <c r="A4" t="str">
        <v>Date:</v>
      </c>
      <c r="B4" t="str">
        <v>2026-07-20</v>
      </c>
      <c r="D4" t="str">
        <v>On duty:</v>
      </c>
      <c r="E4">
        <f>COUNTIFS(Schedule_Data!$F$2:$F$99999,$B$4,Schedule_Data!$L$2:$L$99999,"FALSE")</f>
        <v>0</v>
      </c>
    </row>
    <row r="6">
      <c r="A6" t="str">
        <v>person_id</v>
      </c>
      <c r="B6" t="str">
        <v>Name</v>
      </c>
      <c r="C6" t="str">
        <v>Team</v>
      </c>
      <c r="D6" t="str">
        <v>Shift (SA)</v>
      </c>
    </row>
  </sheetData>
  <mergeCells count="2">
    <mergeCell ref="A2:H2"/>
    <mergeCell ref="A1:H1"/>
  </mergeCells>
  <pageMargins left="0.7" right="0.7" top="0.75" bottom="0.75" header="0.3" footer="0.3"/>
  <ignoredErrors>
    <ignoredError numberStoredAsText="1" sqref="A1:H6"/>
  </ignoredErrors>
</worksheet>
</file>

<file path=xl/worksheets/sheet4.xml><?xml version="1.0" encoding="utf-8"?>
<worksheet xmlns="http://schemas.openxmlformats.org/spreadsheetml/2006/main" xmlns:r="http://schemas.openxmlformats.org/officeDocument/2006/relationships">
  <dimension ref="A1:H37"/>
  <sheetViews>
    <sheetView workbookViewId="0" rightToLeft="0"/>
  </sheetViews>
  <sheetData>
    <row r="1">
      <c r="A1" t="str">
        <v>CLEAN VIEW - one person, one month</v>
      </c>
    </row>
    <row r="2">
      <c r="A2" t="str">
        <v>pick person and month from the dropdowns   ·   Ordo ex Tabulis</v>
      </c>
    </row>
    <row r="4">
      <c r="A4" t="str">
        <v>Person:</v>
      </c>
      <c r="B4" t="str">
        <v/>
      </c>
      <c r="D4" t="str">
        <v>Month:</v>
      </c>
      <c r="E4" t="str">
        <v>2026-07</v>
      </c>
    </row>
    <row r="6">
      <c r="A6" t="str">
        <v>Date</v>
      </c>
      <c r="B6" t="str">
        <v>Day</v>
      </c>
      <c r="C6" t="str">
        <v>SA shift</v>
      </c>
      <c r="D6" t="str">
        <v>UK shift</v>
      </c>
    </row>
    <row r="7">
      <c r="A7" t="str">
        <f>IFERROR(IF(DAY(DATE(VALUE(LEFT($E$4,4)),VALUE(MID($E$4,6,2)),1)+0)=1,TEXT(DATE(VALUE(LEFT($E$4,4)),VALUE(MID($E$4,6,2)),1),"yyyy-mm-dd"),""),"")</f>
        <v>2026-07-01</v>
      </c>
      <c r="B7" t="str">
        <f>IF($A7="","",TEXT(DATEVALUE($A7),"ddd"))</f>
        <v>Wed</v>
      </c>
      <c r="C7" t="str">
        <f>IF($A7="","",IFERROR(IF(INDEX(Schedule_Data!$L:$L,MATCH($B$4&amp;"|"&amp;$A7,Schedule_Data!$Q:$Q,0))="TRUE","OFF",INDEX(Schedule_Data!$J:$J,MATCH($B$4&amp;"|"&amp;$A7,Schedule_Data!$Q:$Q,0))&amp;"-"&amp;INDEX(Schedule_Data!$K:$K,MATCH($B$4&amp;"|"&amp;$A7,Schedule_Data!$Q:$Q,0))),"no record"))</f>
        <v>no record</v>
      </c>
      <c r="D7" t="str">
        <f>IF($A7="","",IFERROR(IF(INDEX(Schedule_Data!$L:$L,MATCH($B$4&amp;"|"&amp;$A7,Schedule_Data!$Q:$Q,0))="TRUE","",INDEX(Schedule_Data!$H:$H,MATCH($B$4&amp;"|"&amp;$A7,Schedule_Data!$Q:$Q,0))&amp;"-"&amp;INDEX(Schedule_Data!$I:$I,MATCH($B$4&amp;"|"&amp;$A7,Schedule_Data!$Q:$Q,0))),""))</f>
        <v/>
      </c>
    </row>
    <row r="8">
      <c r="A8" t="str">
        <f>IFERROR(IF(DAY(DATE(VALUE(LEFT($E$4,4)),VALUE(MID($E$4,6,2)),1)+1)=2,TEXT(DATE(VALUE(LEFT($E$4,4)),VALUE(MID($E$4,6,2)),2),"yyyy-mm-dd"),""),"")</f>
        <v>2026-07-02</v>
      </c>
      <c r="B8" t="str">
        <f>IF($A8="","",TEXT(DATEVALUE($A8),"ddd"))</f>
        <v>Thu</v>
      </c>
      <c r="C8" t="str">
        <f>IF($A8="","",IFERROR(IF(INDEX(Schedule_Data!$L:$L,MATCH($B$4&amp;"|"&amp;$A8,Schedule_Data!$Q:$Q,0))="TRUE","OFF",INDEX(Schedule_Data!$J:$J,MATCH($B$4&amp;"|"&amp;$A8,Schedule_Data!$Q:$Q,0))&amp;"-"&amp;INDEX(Schedule_Data!$K:$K,MATCH($B$4&amp;"|"&amp;$A8,Schedule_Data!$Q:$Q,0))),"no record"))</f>
        <v>no record</v>
      </c>
      <c r="D8" t="str">
        <f>IF($A8="","",IFERROR(IF(INDEX(Schedule_Data!$L:$L,MATCH($B$4&amp;"|"&amp;$A8,Schedule_Data!$Q:$Q,0))="TRUE","",INDEX(Schedule_Data!$H:$H,MATCH($B$4&amp;"|"&amp;$A8,Schedule_Data!$Q:$Q,0))&amp;"-"&amp;INDEX(Schedule_Data!$I:$I,MATCH($B$4&amp;"|"&amp;$A8,Schedule_Data!$Q:$Q,0))),""))</f>
        <v/>
      </c>
    </row>
    <row r="9">
      <c r="A9" t="str">
        <f>IFERROR(IF(DAY(DATE(VALUE(LEFT($E$4,4)),VALUE(MID($E$4,6,2)),1)+2)=3,TEXT(DATE(VALUE(LEFT($E$4,4)),VALUE(MID($E$4,6,2)),3),"yyyy-mm-dd"),""),"")</f>
        <v>2026-07-03</v>
      </c>
      <c r="B9" t="str">
        <f>IF($A9="","",TEXT(DATEVALUE($A9),"ddd"))</f>
        <v>Fri</v>
      </c>
      <c r="C9" t="str">
        <f>IF($A9="","",IFERROR(IF(INDEX(Schedule_Data!$L:$L,MATCH($B$4&amp;"|"&amp;$A9,Schedule_Data!$Q:$Q,0))="TRUE","OFF",INDEX(Schedule_Data!$J:$J,MATCH($B$4&amp;"|"&amp;$A9,Schedule_Data!$Q:$Q,0))&amp;"-"&amp;INDEX(Schedule_Data!$K:$K,MATCH($B$4&amp;"|"&amp;$A9,Schedule_Data!$Q:$Q,0))),"no record"))</f>
        <v>no record</v>
      </c>
      <c r="D9" t="str">
        <f>IF($A9="","",IFERROR(IF(INDEX(Schedule_Data!$L:$L,MATCH($B$4&amp;"|"&amp;$A9,Schedule_Data!$Q:$Q,0))="TRUE","",INDEX(Schedule_Data!$H:$H,MATCH($B$4&amp;"|"&amp;$A9,Schedule_Data!$Q:$Q,0))&amp;"-"&amp;INDEX(Schedule_Data!$I:$I,MATCH($B$4&amp;"|"&amp;$A9,Schedule_Data!$Q:$Q,0))),""))</f>
        <v/>
      </c>
    </row>
    <row r="10">
      <c r="A10" t="str">
        <f>IFERROR(IF(DAY(DATE(VALUE(LEFT($E$4,4)),VALUE(MID($E$4,6,2)),1)+3)=4,TEXT(DATE(VALUE(LEFT($E$4,4)),VALUE(MID($E$4,6,2)),4),"yyyy-mm-dd"),""),"")</f>
        <v>2026-07-04</v>
      </c>
      <c r="B10" t="str">
        <f>IF($A10="","",TEXT(DATEVALUE($A10),"ddd"))</f>
        <v>Sat</v>
      </c>
      <c r="C10" t="str">
        <f>IF($A10="","",IFERROR(IF(INDEX(Schedule_Data!$L:$L,MATCH($B$4&amp;"|"&amp;$A10,Schedule_Data!$Q:$Q,0))="TRUE","OFF",INDEX(Schedule_Data!$J:$J,MATCH($B$4&amp;"|"&amp;$A10,Schedule_Data!$Q:$Q,0))&amp;"-"&amp;INDEX(Schedule_Data!$K:$K,MATCH($B$4&amp;"|"&amp;$A10,Schedule_Data!$Q:$Q,0))),"no record"))</f>
        <v>no record</v>
      </c>
      <c r="D10" t="str">
        <f>IF($A10="","",IFERROR(IF(INDEX(Schedule_Data!$L:$L,MATCH($B$4&amp;"|"&amp;$A10,Schedule_Data!$Q:$Q,0))="TRUE","",INDEX(Schedule_Data!$H:$H,MATCH($B$4&amp;"|"&amp;$A10,Schedule_Data!$Q:$Q,0))&amp;"-"&amp;INDEX(Schedule_Data!$I:$I,MATCH($B$4&amp;"|"&amp;$A10,Schedule_Data!$Q:$Q,0))),""))</f>
        <v/>
      </c>
    </row>
    <row r="11">
      <c r="A11" t="str">
        <f>IFERROR(IF(DAY(DATE(VALUE(LEFT($E$4,4)),VALUE(MID($E$4,6,2)),1)+4)=5,TEXT(DATE(VALUE(LEFT($E$4,4)),VALUE(MID($E$4,6,2)),5),"yyyy-mm-dd"),""),"")</f>
        <v>2026-07-05</v>
      </c>
      <c r="B11" t="str">
        <f>IF($A11="","",TEXT(DATEVALUE($A11),"ddd"))</f>
        <v>Sun</v>
      </c>
      <c r="C11" t="str">
        <f>IF($A11="","",IFERROR(IF(INDEX(Schedule_Data!$L:$L,MATCH($B$4&amp;"|"&amp;$A11,Schedule_Data!$Q:$Q,0))="TRUE","OFF",INDEX(Schedule_Data!$J:$J,MATCH($B$4&amp;"|"&amp;$A11,Schedule_Data!$Q:$Q,0))&amp;"-"&amp;INDEX(Schedule_Data!$K:$K,MATCH($B$4&amp;"|"&amp;$A11,Schedule_Data!$Q:$Q,0))),"no record"))</f>
        <v>no record</v>
      </c>
      <c r="D11" t="str">
        <f>IF($A11="","",IFERROR(IF(INDEX(Schedule_Data!$L:$L,MATCH($B$4&amp;"|"&amp;$A11,Schedule_Data!$Q:$Q,0))="TRUE","",INDEX(Schedule_Data!$H:$H,MATCH($B$4&amp;"|"&amp;$A11,Schedule_Data!$Q:$Q,0))&amp;"-"&amp;INDEX(Schedule_Data!$I:$I,MATCH($B$4&amp;"|"&amp;$A11,Schedule_Data!$Q:$Q,0))),""))</f>
        <v/>
      </c>
    </row>
    <row r="12">
      <c r="A12" t="str">
        <f>IFERROR(IF(DAY(DATE(VALUE(LEFT($E$4,4)),VALUE(MID($E$4,6,2)),1)+5)=6,TEXT(DATE(VALUE(LEFT($E$4,4)),VALUE(MID($E$4,6,2)),6),"yyyy-mm-dd"),""),"")</f>
        <v>2026-07-06</v>
      </c>
      <c r="B12" t="str">
        <f>IF($A12="","",TEXT(DATEVALUE($A12),"ddd"))</f>
        <v>Mon</v>
      </c>
      <c r="C12" t="str">
        <f>IF($A12="","",IFERROR(IF(INDEX(Schedule_Data!$L:$L,MATCH($B$4&amp;"|"&amp;$A12,Schedule_Data!$Q:$Q,0))="TRUE","OFF",INDEX(Schedule_Data!$J:$J,MATCH($B$4&amp;"|"&amp;$A12,Schedule_Data!$Q:$Q,0))&amp;"-"&amp;INDEX(Schedule_Data!$K:$K,MATCH($B$4&amp;"|"&amp;$A12,Schedule_Data!$Q:$Q,0))),"no record"))</f>
        <v>no record</v>
      </c>
      <c r="D12" t="str">
        <f>IF($A12="","",IFERROR(IF(INDEX(Schedule_Data!$L:$L,MATCH($B$4&amp;"|"&amp;$A12,Schedule_Data!$Q:$Q,0))="TRUE","",INDEX(Schedule_Data!$H:$H,MATCH($B$4&amp;"|"&amp;$A12,Schedule_Data!$Q:$Q,0))&amp;"-"&amp;INDEX(Schedule_Data!$I:$I,MATCH($B$4&amp;"|"&amp;$A12,Schedule_Data!$Q:$Q,0))),""))</f>
        <v/>
      </c>
    </row>
    <row r="13">
      <c r="A13" t="str">
        <f>IFERROR(IF(DAY(DATE(VALUE(LEFT($E$4,4)),VALUE(MID($E$4,6,2)),1)+6)=7,TEXT(DATE(VALUE(LEFT($E$4,4)),VALUE(MID($E$4,6,2)),7),"yyyy-mm-dd"),""),"")</f>
        <v>2026-07-07</v>
      </c>
      <c r="B13" t="str">
        <f>IF($A13="","",TEXT(DATEVALUE($A13),"ddd"))</f>
        <v>Tue</v>
      </c>
      <c r="C13" t="str">
        <f>IF($A13="","",IFERROR(IF(INDEX(Schedule_Data!$L:$L,MATCH($B$4&amp;"|"&amp;$A13,Schedule_Data!$Q:$Q,0))="TRUE","OFF",INDEX(Schedule_Data!$J:$J,MATCH($B$4&amp;"|"&amp;$A13,Schedule_Data!$Q:$Q,0))&amp;"-"&amp;INDEX(Schedule_Data!$K:$K,MATCH($B$4&amp;"|"&amp;$A13,Schedule_Data!$Q:$Q,0))),"no record"))</f>
        <v>no record</v>
      </c>
      <c r="D13" t="str">
        <f>IF($A13="","",IFERROR(IF(INDEX(Schedule_Data!$L:$L,MATCH($B$4&amp;"|"&amp;$A13,Schedule_Data!$Q:$Q,0))="TRUE","",INDEX(Schedule_Data!$H:$H,MATCH($B$4&amp;"|"&amp;$A13,Schedule_Data!$Q:$Q,0))&amp;"-"&amp;INDEX(Schedule_Data!$I:$I,MATCH($B$4&amp;"|"&amp;$A13,Schedule_Data!$Q:$Q,0))),""))</f>
        <v/>
      </c>
    </row>
    <row r="14">
      <c r="A14" t="str">
        <f>IFERROR(IF(DAY(DATE(VALUE(LEFT($E$4,4)),VALUE(MID($E$4,6,2)),1)+7)=8,TEXT(DATE(VALUE(LEFT($E$4,4)),VALUE(MID($E$4,6,2)),8),"yyyy-mm-dd"),""),"")</f>
        <v>2026-07-08</v>
      </c>
      <c r="B14" t="str">
        <f>IF($A14="","",TEXT(DATEVALUE($A14),"ddd"))</f>
        <v>Wed</v>
      </c>
      <c r="C14" t="str">
        <f>IF($A14="","",IFERROR(IF(INDEX(Schedule_Data!$L:$L,MATCH($B$4&amp;"|"&amp;$A14,Schedule_Data!$Q:$Q,0))="TRUE","OFF",INDEX(Schedule_Data!$J:$J,MATCH($B$4&amp;"|"&amp;$A14,Schedule_Data!$Q:$Q,0))&amp;"-"&amp;INDEX(Schedule_Data!$K:$K,MATCH($B$4&amp;"|"&amp;$A14,Schedule_Data!$Q:$Q,0))),"no record"))</f>
        <v>no record</v>
      </c>
      <c r="D14" t="str">
        <f>IF($A14="","",IFERROR(IF(INDEX(Schedule_Data!$L:$L,MATCH($B$4&amp;"|"&amp;$A14,Schedule_Data!$Q:$Q,0))="TRUE","",INDEX(Schedule_Data!$H:$H,MATCH($B$4&amp;"|"&amp;$A14,Schedule_Data!$Q:$Q,0))&amp;"-"&amp;INDEX(Schedule_Data!$I:$I,MATCH($B$4&amp;"|"&amp;$A14,Schedule_Data!$Q:$Q,0))),""))</f>
        <v/>
      </c>
    </row>
    <row r="15">
      <c r="A15" t="str">
        <f>IFERROR(IF(DAY(DATE(VALUE(LEFT($E$4,4)),VALUE(MID($E$4,6,2)),1)+8)=9,TEXT(DATE(VALUE(LEFT($E$4,4)),VALUE(MID($E$4,6,2)),9),"yyyy-mm-dd"),""),"")</f>
        <v>2026-07-09</v>
      </c>
      <c r="B15" t="str">
        <f>IF($A15="","",TEXT(DATEVALUE($A15),"ddd"))</f>
        <v>Thu</v>
      </c>
      <c r="C15" t="str">
        <f>IF($A15="","",IFERROR(IF(INDEX(Schedule_Data!$L:$L,MATCH($B$4&amp;"|"&amp;$A15,Schedule_Data!$Q:$Q,0))="TRUE","OFF",INDEX(Schedule_Data!$J:$J,MATCH($B$4&amp;"|"&amp;$A15,Schedule_Data!$Q:$Q,0))&amp;"-"&amp;INDEX(Schedule_Data!$K:$K,MATCH($B$4&amp;"|"&amp;$A15,Schedule_Data!$Q:$Q,0))),"no record"))</f>
        <v>no record</v>
      </c>
      <c r="D15" t="str">
        <f>IF($A15="","",IFERROR(IF(INDEX(Schedule_Data!$L:$L,MATCH($B$4&amp;"|"&amp;$A15,Schedule_Data!$Q:$Q,0))="TRUE","",INDEX(Schedule_Data!$H:$H,MATCH($B$4&amp;"|"&amp;$A15,Schedule_Data!$Q:$Q,0))&amp;"-"&amp;INDEX(Schedule_Data!$I:$I,MATCH($B$4&amp;"|"&amp;$A15,Schedule_Data!$Q:$Q,0))),""))</f>
        <v/>
      </c>
    </row>
    <row r="16">
      <c r="A16" t="str">
        <f>IFERROR(IF(DAY(DATE(VALUE(LEFT($E$4,4)),VALUE(MID($E$4,6,2)),1)+9)=10,TEXT(DATE(VALUE(LEFT($E$4,4)),VALUE(MID($E$4,6,2)),10),"yyyy-mm-dd"),""),"")</f>
        <v>2026-07-10</v>
      </c>
      <c r="B16" t="str">
        <f>IF($A16="","",TEXT(DATEVALUE($A16),"ddd"))</f>
        <v>Fri</v>
      </c>
      <c r="C16" t="str">
        <f>IF($A16="","",IFERROR(IF(INDEX(Schedule_Data!$L:$L,MATCH($B$4&amp;"|"&amp;$A16,Schedule_Data!$Q:$Q,0))="TRUE","OFF",INDEX(Schedule_Data!$J:$J,MATCH($B$4&amp;"|"&amp;$A16,Schedule_Data!$Q:$Q,0))&amp;"-"&amp;INDEX(Schedule_Data!$K:$K,MATCH($B$4&amp;"|"&amp;$A16,Schedule_Data!$Q:$Q,0))),"no record"))</f>
        <v>no record</v>
      </c>
      <c r="D16" t="str">
        <f>IF($A16="","",IFERROR(IF(INDEX(Schedule_Data!$L:$L,MATCH($B$4&amp;"|"&amp;$A16,Schedule_Data!$Q:$Q,0))="TRUE","",INDEX(Schedule_Data!$H:$H,MATCH($B$4&amp;"|"&amp;$A16,Schedule_Data!$Q:$Q,0))&amp;"-"&amp;INDEX(Schedule_Data!$I:$I,MATCH($B$4&amp;"|"&amp;$A16,Schedule_Data!$Q:$Q,0))),""))</f>
        <v/>
      </c>
    </row>
    <row r="17">
      <c r="A17" t="str">
        <f>IFERROR(IF(DAY(DATE(VALUE(LEFT($E$4,4)),VALUE(MID($E$4,6,2)),1)+10)=11,TEXT(DATE(VALUE(LEFT($E$4,4)),VALUE(MID($E$4,6,2)),11),"yyyy-mm-dd"),""),"")</f>
        <v>2026-07-11</v>
      </c>
      <c r="B17" t="str">
        <f>IF($A17="","",TEXT(DATEVALUE($A17),"ddd"))</f>
        <v>Sat</v>
      </c>
      <c r="C17" t="str">
        <f>IF($A17="","",IFERROR(IF(INDEX(Schedule_Data!$L:$L,MATCH($B$4&amp;"|"&amp;$A17,Schedule_Data!$Q:$Q,0))="TRUE","OFF",INDEX(Schedule_Data!$J:$J,MATCH($B$4&amp;"|"&amp;$A17,Schedule_Data!$Q:$Q,0))&amp;"-"&amp;INDEX(Schedule_Data!$K:$K,MATCH($B$4&amp;"|"&amp;$A17,Schedule_Data!$Q:$Q,0))),"no record"))</f>
        <v>no record</v>
      </c>
      <c r="D17" t="str">
        <f>IF($A17="","",IFERROR(IF(INDEX(Schedule_Data!$L:$L,MATCH($B$4&amp;"|"&amp;$A17,Schedule_Data!$Q:$Q,0))="TRUE","",INDEX(Schedule_Data!$H:$H,MATCH($B$4&amp;"|"&amp;$A17,Schedule_Data!$Q:$Q,0))&amp;"-"&amp;INDEX(Schedule_Data!$I:$I,MATCH($B$4&amp;"|"&amp;$A17,Schedule_Data!$Q:$Q,0))),""))</f>
        <v/>
      </c>
    </row>
    <row r="18">
      <c r="A18" t="str">
        <f>IFERROR(IF(DAY(DATE(VALUE(LEFT($E$4,4)),VALUE(MID($E$4,6,2)),1)+11)=12,TEXT(DATE(VALUE(LEFT($E$4,4)),VALUE(MID($E$4,6,2)),12),"yyyy-mm-dd"),""),"")</f>
        <v>2026-07-12</v>
      </c>
      <c r="B18" t="str">
        <f>IF($A18="","",TEXT(DATEVALUE($A18),"ddd"))</f>
        <v>Sun</v>
      </c>
      <c r="C18" t="str">
        <f>IF($A18="","",IFERROR(IF(INDEX(Schedule_Data!$L:$L,MATCH($B$4&amp;"|"&amp;$A18,Schedule_Data!$Q:$Q,0))="TRUE","OFF",INDEX(Schedule_Data!$J:$J,MATCH($B$4&amp;"|"&amp;$A18,Schedule_Data!$Q:$Q,0))&amp;"-"&amp;INDEX(Schedule_Data!$K:$K,MATCH($B$4&amp;"|"&amp;$A18,Schedule_Data!$Q:$Q,0))),"no record"))</f>
        <v>no record</v>
      </c>
      <c r="D18" t="str">
        <f>IF($A18="","",IFERROR(IF(INDEX(Schedule_Data!$L:$L,MATCH($B$4&amp;"|"&amp;$A18,Schedule_Data!$Q:$Q,0))="TRUE","",INDEX(Schedule_Data!$H:$H,MATCH($B$4&amp;"|"&amp;$A18,Schedule_Data!$Q:$Q,0))&amp;"-"&amp;INDEX(Schedule_Data!$I:$I,MATCH($B$4&amp;"|"&amp;$A18,Schedule_Data!$Q:$Q,0))),""))</f>
        <v/>
      </c>
    </row>
    <row r="19">
      <c r="A19" t="str">
        <f>IFERROR(IF(DAY(DATE(VALUE(LEFT($E$4,4)),VALUE(MID($E$4,6,2)),1)+12)=13,TEXT(DATE(VALUE(LEFT($E$4,4)),VALUE(MID($E$4,6,2)),13),"yyyy-mm-dd"),""),"")</f>
        <v>2026-07-13</v>
      </c>
      <c r="B19" t="str">
        <f>IF($A19="","",TEXT(DATEVALUE($A19),"ddd"))</f>
        <v>Mon</v>
      </c>
      <c r="C19" t="str">
        <f>IF($A19="","",IFERROR(IF(INDEX(Schedule_Data!$L:$L,MATCH($B$4&amp;"|"&amp;$A19,Schedule_Data!$Q:$Q,0))="TRUE","OFF",INDEX(Schedule_Data!$J:$J,MATCH($B$4&amp;"|"&amp;$A19,Schedule_Data!$Q:$Q,0))&amp;"-"&amp;INDEX(Schedule_Data!$K:$K,MATCH($B$4&amp;"|"&amp;$A19,Schedule_Data!$Q:$Q,0))),"no record"))</f>
        <v>no record</v>
      </c>
      <c r="D19" t="str">
        <f>IF($A19="","",IFERROR(IF(INDEX(Schedule_Data!$L:$L,MATCH($B$4&amp;"|"&amp;$A19,Schedule_Data!$Q:$Q,0))="TRUE","",INDEX(Schedule_Data!$H:$H,MATCH($B$4&amp;"|"&amp;$A19,Schedule_Data!$Q:$Q,0))&amp;"-"&amp;INDEX(Schedule_Data!$I:$I,MATCH($B$4&amp;"|"&amp;$A19,Schedule_Data!$Q:$Q,0))),""))</f>
        <v/>
      </c>
    </row>
    <row r="20">
      <c r="A20" t="str">
        <f>IFERROR(IF(DAY(DATE(VALUE(LEFT($E$4,4)),VALUE(MID($E$4,6,2)),1)+13)=14,TEXT(DATE(VALUE(LEFT($E$4,4)),VALUE(MID($E$4,6,2)),14),"yyyy-mm-dd"),""),"")</f>
        <v>2026-07-14</v>
      </c>
      <c r="B20" t="str">
        <f>IF($A20="","",TEXT(DATEVALUE($A20),"ddd"))</f>
        <v>Tue</v>
      </c>
      <c r="C20" t="str">
        <f>IF($A20="","",IFERROR(IF(INDEX(Schedule_Data!$L:$L,MATCH($B$4&amp;"|"&amp;$A20,Schedule_Data!$Q:$Q,0))="TRUE","OFF",INDEX(Schedule_Data!$J:$J,MATCH($B$4&amp;"|"&amp;$A20,Schedule_Data!$Q:$Q,0))&amp;"-"&amp;INDEX(Schedule_Data!$K:$K,MATCH($B$4&amp;"|"&amp;$A20,Schedule_Data!$Q:$Q,0))),"no record"))</f>
        <v>no record</v>
      </c>
      <c r="D20" t="str">
        <f>IF($A20="","",IFERROR(IF(INDEX(Schedule_Data!$L:$L,MATCH($B$4&amp;"|"&amp;$A20,Schedule_Data!$Q:$Q,0))="TRUE","",INDEX(Schedule_Data!$H:$H,MATCH($B$4&amp;"|"&amp;$A20,Schedule_Data!$Q:$Q,0))&amp;"-"&amp;INDEX(Schedule_Data!$I:$I,MATCH($B$4&amp;"|"&amp;$A20,Schedule_Data!$Q:$Q,0))),""))</f>
        <v/>
      </c>
    </row>
    <row r="21">
      <c r="A21" t="str">
        <f>IFERROR(IF(DAY(DATE(VALUE(LEFT($E$4,4)),VALUE(MID($E$4,6,2)),1)+14)=15,TEXT(DATE(VALUE(LEFT($E$4,4)),VALUE(MID($E$4,6,2)),15),"yyyy-mm-dd"),""),"")</f>
        <v>2026-07-15</v>
      </c>
      <c r="B21" t="str">
        <f>IF($A21="","",TEXT(DATEVALUE($A21),"ddd"))</f>
        <v>Wed</v>
      </c>
      <c r="C21" t="str">
        <f>IF($A21="","",IFERROR(IF(INDEX(Schedule_Data!$L:$L,MATCH($B$4&amp;"|"&amp;$A21,Schedule_Data!$Q:$Q,0))="TRUE","OFF",INDEX(Schedule_Data!$J:$J,MATCH($B$4&amp;"|"&amp;$A21,Schedule_Data!$Q:$Q,0))&amp;"-"&amp;INDEX(Schedule_Data!$K:$K,MATCH($B$4&amp;"|"&amp;$A21,Schedule_Data!$Q:$Q,0))),"no record"))</f>
        <v>no record</v>
      </c>
      <c r="D21" t="str">
        <f>IF($A21="","",IFERROR(IF(INDEX(Schedule_Data!$L:$L,MATCH($B$4&amp;"|"&amp;$A21,Schedule_Data!$Q:$Q,0))="TRUE","",INDEX(Schedule_Data!$H:$H,MATCH($B$4&amp;"|"&amp;$A21,Schedule_Data!$Q:$Q,0))&amp;"-"&amp;INDEX(Schedule_Data!$I:$I,MATCH($B$4&amp;"|"&amp;$A21,Schedule_Data!$Q:$Q,0))),""))</f>
        <v/>
      </c>
    </row>
    <row r="22">
      <c r="A22" t="str">
        <f>IFERROR(IF(DAY(DATE(VALUE(LEFT($E$4,4)),VALUE(MID($E$4,6,2)),1)+15)=16,TEXT(DATE(VALUE(LEFT($E$4,4)),VALUE(MID($E$4,6,2)),16),"yyyy-mm-dd"),""),"")</f>
        <v>2026-07-16</v>
      </c>
      <c r="B22" t="str">
        <f>IF($A22="","",TEXT(DATEVALUE($A22),"ddd"))</f>
        <v>Thu</v>
      </c>
      <c r="C22" t="str">
        <f>IF($A22="","",IFERROR(IF(INDEX(Schedule_Data!$L:$L,MATCH($B$4&amp;"|"&amp;$A22,Schedule_Data!$Q:$Q,0))="TRUE","OFF",INDEX(Schedule_Data!$J:$J,MATCH($B$4&amp;"|"&amp;$A22,Schedule_Data!$Q:$Q,0))&amp;"-"&amp;INDEX(Schedule_Data!$K:$K,MATCH($B$4&amp;"|"&amp;$A22,Schedule_Data!$Q:$Q,0))),"no record"))</f>
        <v>no record</v>
      </c>
      <c r="D22" t="str">
        <f>IF($A22="","",IFERROR(IF(INDEX(Schedule_Data!$L:$L,MATCH($B$4&amp;"|"&amp;$A22,Schedule_Data!$Q:$Q,0))="TRUE","",INDEX(Schedule_Data!$H:$H,MATCH($B$4&amp;"|"&amp;$A22,Schedule_Data!$Q:$Q,0))&amp;"-"&amp;INDEX(Schedule_Data!$I:$I,MATCH($B$4&amp;"|"&amp;$A22,Schedule_Data!$Q:$Q,0))),""))</f>
        <v/>
      </c>
    </row>
    <row r="23">
      <c r="A23" t="str">
        <f>IFERROR(IF(DAY(DATE(VALUE(LEFT($E$4,4)),VALUE(MID($E$4,6,2)),1)+16)=17,TEXT(DATE(VALUE(LEFT($E$4,4)),VALUE(MID($E$4,6,2)),17),"yyyy-mm-dd"),""),"")</f>
        <v>2026-07-17</v>
      </c>
      <c r="B23" t="str">
        <f>IF($A23="","",TEXT(DATEVALUE($A23),"ddd"))</f>
        <v>Fri</v>
      </c>
      <c r="C23" t="str">
        <f>IF($A23="","",IFERROR(IF(INDEX(Schedule_Data!$L:$L,MATCH($B$4&amp;"|"&amp;$A23,Schedule_Data!$Q:$Q,0))="TRUE","OFF",INDEX(Schedule_Data!$J:$J,MATCH($B$4&amp;"|"&amp;$A23,Schedule_Data!$Q:$Q,0))&amp;"-"&amp;INDEX(Schedule_Data!$K:$K,MATCH($B$4&amp;"|"&amp;$A23,Schedule_Data!$Q:$Q,0))),"no record"))</f>
        <v>no record</v>
      </c>
      <c r="D23" t="str">
        <f>IF($A23="","",IFERROR(IF(INDEX(Schedule_Data!$L:$L,MATCH($B$4&amp;"|"&amp;$A23,Schedule_Data!$Q:$Q,0))="TRUE","",INDEX(Schedule_Data!$H:$H,MATCH($B$4&amp;"|"&amp;$A23,Schedule_Data!$Q:$Q,0))&amp;"-"&amp;INDEX(Schedule_Data!$I:$I,MATCH($B$4&amp;"|"&amp;$A23,Schedule_Data!$Q:$Q,0))),""))</f>
        <v/>
      </c>
    </row>
    <row r="24">
      <c r="A24" t="str">
        <f>IFERROR(IF(DAY(DATE(VALUE(LEFT($E$4,4)),VALUE(MID($E$4,6,2)),1)+17)=18,TEXT(DATE(VALUE(LEFT($E$4,4)),VALUE(MID($E$4,6,2)),18),"yyyy-mm-dd"),""),"")</f>
        <v>2026-07-18</v>
      </c>
      <c r="B24" t="str">
        <f>IF($A24="","",TEXT(DATEVALUE($A24),"ddd"))</f>
        <v>Sat</v>
      </c>
      <c r="C24" t="str">
        <f>IF($A24="","",IFERROR(IF(INDEX(Schedule_Data!$L:$L,MATCH($B$4&amp;"|"&amp;$A24,Schedule_Data!$Q:$Q,0))="TRUE","OFF",INDEX(Schedule_Data!$J:$J,MATCH($B$4&amp;"|"&amp;$A24,Schedule_Data!$Q:$Q,0))&amp;"-"&amp;INDEX(Schedule_Data!$K:$K,MATCH($B$4&amp;"|"&amp;$A24,Schedule_Data!$Q:$Q,0))),"no record"))</f>
        <v>no record</v>
      </c>
      <c r="D24" t="str">
        <f>IF($A24="","",IFERROR(IF(INDEX(Schedule_Data!$L:$L,MATCH($B$4&amp;"|"&amp;$A24,Schedule_Data!$Q:$Q,0))="TRUE","",INDEX(Schedule_Data!$H:$H,MATCH($B$4&amp;"|"&amp;$A24,Schedule_Data!$Q:$Q,0))&amp;"-"&amp;INDEX(Schedule_Data!$I:$I,MATCH($B$4&amp;"|"&amp;$A24,Schedule_Data!$Q:$Q,0))),""))</f>
        <v/>
      </c>
    </row>
    <row r="25">
      <c r="A25" t="str">
        <f>IFERROR(IF(DAY(DATE(VALUE(LEFT($E$4,4)),VALUE(MID($E$4,6,2)),1)+18)=19,TEXT(DATE(VALUE(LEFT($E$4,4)),VALUE(MID($E$4,6,2)),19),"yyyy-mm-dd"),""),"")</f>
        <v>2026-07-19</v>
      </c>
      <c r="B25" t="str">
        <f>IF($A25="","",TEXT(DATEVALUE($A25),"ddd"))</f>
        <v>Sun</v>
      </c>
      <c r="C25" t="str">
        <f>IF($A25="","",IFERROR(IF(INDEX(Schedule_Data!$L:$L,MATCH($B$4&amp;"|"&amp;$A25,Schedule_Data!$Q:$Q,0))="TRUE","OFF",INDEX(Schedule_Data!$J:$J,MATCH($B$4&amp;"|"&amp;$A25,Schedule_Data!$Q:$Q,0))&amp;"-"&amp;INDEX(Schedule_Data!$K:$K,MATCH($B$4&amp;"|"&amp;$A25,Schedule_Data!$Q:$Q,0))),"no record"))</f>
        <v>no record</v>
      </c>
      <c r="D25" t="str">
        <f>IF($A25="","",IFERROR(IF(INDEX(Schedule_Data!$L:$L,MATCH($B$4&amp;"|"&amp;$A25,Schedule_Data!$Q:$Q,0))="TRUE","",INDEX(Schedule_Data!$H:$H,MATCH($B$4&amp;"|"&amp;$A25,Schedule_Data!$Q:$Q,0))&amp;"-"&amp;INDEX(Schedule_Data!$I:$I,MATCH($B$4&amp;"|"&amp;$A25,Schedule_Data!$Q:$Q,0))),""))</f>
        <v/>
      </c>
    </row>
    <row r="26">
      <c r="A26" t="str">
        <f>IFERROR(IF(DAY(DATE(VALUE(LEFT($E$4,4)),VALUE(MID($E$4,6,2)),1)+19)=20,TEXT(DATE(VALUE(LEFT($E$4,4)),VALUE(MID($E$4,6,2)),20),"yyyy-mm-dd"),""),"")</f>
        <v>2026-07-20</v>
      </c>
      <c r="B26" t="str">
        <f>IF($A26="","",TEXT(DATEVALUE($A26),"ddd"))</f>
        <v>Mon</v>
      </c>
      <c r="C26" t="str">
        <f>IF($A26="","",IFERROR(IF(INDEX(Schedule_Data!$L:$L,MATCH($B$4&amp;"|"&amp;$A26,Schedule_Data!$Q:$Q,0))="TRUE","OFF",INDEX(Schedule_Data!$J:$J,MATCH($B$4&amp;"|"&amp;$A26,Schedule_Data!$Q:$Q,0))&amp;"-"&amp;INDEX(Schedule_Data!$K:$K,MATCH($B$4&amp;"|"&amp;$A26,Schedule_Data!$Q:$Q,0))),"no record"))</f>
        <v>no record</v>
      </c>
      <c r="D26" t="str">
        <f>IF($A26="","",IFERROR(IF(INDEX(Schedule_Data!$L:$L,MATCH($B$4&amp;"|"&amp;$A26,Schedule_Data!$Q:$Q,0))="TRUE","",INDEX(Schedule_Data!$H:$H,MATCH($B$4&amp;"|"&amp;$A26,Schedule_Data!$Q:$Q,0))&amp;"-"&amp;INDEX(Schedule_Data!$I:$I,MATCH($B$4&amp;"|"&amp;$A26,Schedule_Data!$Q:$Q,0))),""))</f>
        <v/>
      </c>
    </row>
    <row r="27">
      <c r="A27" t="str">
        <f>IFERROR(IF(DAY(DATE(VALUE(LEFT($E$4,4)),VALUE(MID($E$4,6,2)),1)+20)=21,TEXT(DATE(VALUE(LEFT($E$4,4)),VALUE(MID($E$4,6,2)),21),"yyyy-mm-dd"),""),"")</f>
        <v>2026-07-21</v>
      </c>
      <c r="B27" t="str">
        <f>IF($A27="","",TEXT(DATEVALUE($A27),"ddd"))</f>
        <v>Tue</v>
      </c>
      <c r="C27" t="str">
        <f>IF($A27="","",IFERROR(IF(INDEX(Schedule_Data!$L:$L,MATCH($B$4&amp;"|"&amp;$A27,Schedule_Data!$Q:$Q,0))="TRUE","OFF",INDEX(Schedule_Data!$J:$J,MATCH($B$4&amp;"|"&amp;$A27,Schedule_Data!$Q:$Q,0))&amp;"-"&amp;INDEX(Schedule_Data!$K:$K,MATCH($B$4&amp;"|"&amp;$A27,Schedule_Data!$Q:$Q,0))),"no record"))</f>
        <v>no record</v>
      </c>
      <c r="D27" t="str">
        <f>IF($A27="","",IFERROR(IF(INDEX(Schedule_Data!$L:$L,MATCH($B$4&amp;"|"&amp;$A27,Schedule_Data!$Q:$Q,0))="TRUE","",INDEX(Schedule_Data!$H:$H,MATCH($B$4&amp;"|"&amp;$A27,Schedule_Data!$Q:$Q,0))&amp;"-"&amp;INDEX(Schedule_Data!$I:$I,MATCH($B$4&amp;"|"&amp;$A27,Schedule_Data!$Q:$Q,0))),""))</f>
        <v/>
      </c>
    </row>
    <row r="28">
      <c r="A28" t="str">
        <f>IFERROR(IF(DAY(DATE(VALUE(LEFT($E$4,4)),VALUE(MID($E$4,6,2)),1)+21)=22,TEXT(DATE(VALUE(LEFT($E$4,4)),VALUE(MID($E$4,6,2)),22),"yyyy-mm-dd"),""),"")</f>
        <v>2026-07-22</v>
      </c>
      <c r="B28" t="str">
        <f>IF($A28="","",TEXT(DATEVALUE($A28),"ddd"))</f>
        <v>Wed</v>
      </c>
      <c r="C28" t="str">
        <f>IF($A28="","",IFERROR(IF(INDEX(Schedule_Data!$L:$L,MATCH($B$4&amp;"|"&amp;$A28,Schedule_Data!$Q:$Q,0))="TRUE","OFF",INDEX(Schedule_Data!$J:$J,MATCH($B$4&amp;"|"&amp;$A28,Schedule_Data!$Q:$Q,0))&amp;"-"&amp;INDEX(Schedule_Data!$K:$K,MATCH($B$4&amp;"|"&amp;$A28,Schedule_Data!$Q:$Q,0))),"no record"))</f>
        <v>no record</v>
      </c>
      <c r="D28" t="str">
        <f>IF($A28="","",IFERROR(IF(INDEX(Schedule_Data!$L:$L,MATCH($B$4&amp;"|"&amp;$A28,Schedule_Data!$Q:$Q,0))="TRUE","",INDEX(Schedule_Data!$H:$H,MATCH($B$4&amp;"|"&amp;$A28,Schedule_Data!$Q:$Q,0))&amp;"-"&amp;INDEX(Schedule_Data!$I:$I,MATCH($B$4&amp;"|"&amp;$A28,Schedule_Data!$Q:$Q,0))),""))</f>
        <v/>
      </c>
    </row>
    <row r="29">
      <c r="A29" t="str">
        <f>IFERROR(IF(DAY(DATE(VALUE(LEFT($E$4,4)),VALUE(MID($E$4,6,2)),1)+22)=23,TEXT(DATE(VALUE(LEFT($E$4,4)),VALUE(MID($E$4,6,2)),23),"yyyy-mm-dd"),""),"")</f>
        <v>2026-07-23</v>
      </c>
      <c r="B29" t="str">
        <f>IF($A29="","",TEXT(DATEVALUE($A29),"ddd"))</f>
        <v>Thu</v>
      </c>
      <c r="C29" t="str">
        <f>IF($A29="","",IFERROR(IF(INDEX(Schedule_Data!$L:$L,MATCH($B$4&amp;"|"&amp;$A29,Schedule_Data!$Q:$Q,0))="TRUE","OFF",INDEX(Schedule_Data!$J:$J,MATCH($B$4&amp;"|"&amp;$A29,Schedule_Data!$Q:$Q,0))&amp;"-"&amp;INDEX(Schedule_Data!$K:$K,MATCH($B$4&amp;"|"&amp;$A29,Schedule_Data!$Q:$Q,0))),"no record"))</f>
        <v>no record</v>
      </c>
      <c r="D29" t="str">
        <f>IF($A29="","",IFERROR(IF(INDEX(Schedule_Data!$L:$L,MATCH($B$4&amp;"|"&amp;$A29,Schedule_Data!$Q:$Q,0))="TRUE","",INDEX(Schedule_Data!$H:$H,MATCH($B$4&amp;"|"&amp;$A29,Schedule_Data!$Q:$Q,0))&amp;"-"&amp;INDEX(Schedule_Data!$I:$I,MATCH($B$4&amp;"|"&amp;$A29,Schedule_Data!$Q:$Q,0))),""))</f>
        <v/>
      </c>
    </row>
    <row r="30">
      <c r="A30" t="str">
        <f>IFERROR(IF(DAY(DATE(VALUE(LEFT($E$4,4)),VALUE(MID($E$4,6,2)),1)+23)=24,TEXT(DATE(VALUE(LEFT($E$4,4)),VALUE(MID($E$4,6,2)),24),"yyyy-mm-dd"),""),"")</f>
        <v>2026-07-24</v>
      </c>
      <c r="B30" t="str">
        <f>IF($A30="","",TEXT(DATEVALUE($A30),"ddd"))</f>
        <v>Fri</v>
      </c>
      <c r="C30" t="str">
        <f>IF($A30="","",IFERROR(IF(INDEX(Schedule_Data!$L:$L,MATCH($B$4&amp;"|"&amp;$A30,Schedule_Data!$Q:$Q,0))="TRUE","OFF",INDEX(Schedule_Data!$J:$J,MATCH($B$4&amp;"|"&amp;$A30,Schedule_Data!$Q:$Q,0))&amp;"-"&amp;INDEX(Schedule_Data!$K:$K,MATCH($B$4&amp;"|"&amp;$A30,Schedule_Data!$Q:$Q,0))),"no record"))</f>
        <v>no record</v>
      </c>
      <c r="D30" t="str">
        <f>IF($A30="","",IFERROR(IF(INDEX(Schedule_Data!$L:$L,MATCH($B$4&amp;"|"&amp;$A30,Schedule_Data!$Q:$Q,0))="TRUE","",INDEX(Schedule_Data!$H:$H,MATCH($B$4&amp;"|"&amp;$A30,Schedule_Data!$Q:$Q,0))&amp;"-"&amp;INDEX(Schedule_Data!$I:$I,MATCH($B$4&amp;"|"&amp;$A30,Schedule_Data!$Q:$Q,0))),""))</f>
        <v/>
      </c>
    </row>
    <row r="31">
      <c r="A31" t="str">
        <f>IFERROR(IF(DAY(DATE(VALUE(LEFT($E$4,4)),VALUE(MID($E$4,6,2)),1)+24)=25,TEXT(DATE(VALUE(LEFT($E$4,4)),VALUE(MID($E$4,6,2)),25),"yyyy-mm-dd"),""),"")</f>
        <v>2026-07-25</v>
      </c>
      <c r="B31" t="str">
        <f>IF($A31="","",TEXT(DATEVALUE($A31),"ddd"))</f>
        <v>Sat</v>
      </c>
      <c r="C31" t="str">
        <f>IF($A31="","",IFERROR(IF(INDEX(Schedule_Data!$L:$L,MATCH($B$4&amp;"|"&amp;$A31,Schedule_Data!$Q:$Q,0))="TRUE","OFF",INDEX(Schedule_Data!$J:$J,MATCH($B$4&amp;"|"&amp;$A31,Schedule_Data!$Q:$Q,0))&amp;"-"&amp;INDEX(Schedule_Data!$K:$K,MATCH($B$4&amp;"|"&amp;$A31,Schedule_Data!$Q:$Q,0))),"no record"))</f>
        <v>no record</v>
      </c>
      <c r="D31" t="str">
        <f>IF($A31="","",IFERROR(IF(INDEX(Schedule_Data!$L:$L,MATCH($B$4&amp;"|"&amp;$A31,Schedule_Data!$Q:$Q,0))="TRUE","",INDEX(Schedule_Data!$H:$H,MATCH($B$4&amp;"|"&amp;$A31,Schedule_Data!$Q:$Q,0))&amp;"-"&amp;INDEX(Schedule_Data!$I:$I,MATCH($B$4&amp;"|"&amp;$A31,Schedule_Data!$Q:$Q,0))),""))</f>
        <v/>
      </c>
    </row>
    <row r="32">
      <c r="A32" t="str">
        <f>IFERROR(IF(DAY(DATE(VALUE(LEFT($E$4,4)),VALUE(MID($E$4,6,2)),1)+25)=26,TEXT(DATE(VALUE(LEFT($E$4,4)),VALUE(MID($E$4,6,2)),26),"yyyy-mm-dd"),""),"")</f>
        <v>2026-07-26</v>
      </c>
      <c r="B32" t="str">
        <f>IF($A32="","",TEXT(DATEVALUE($A32),"ddd"))</f>
        <v>Sun</v>
      </c>
      <c r="C32" t="str">
        <f>IF($A32="","",IFERROR(IF(INDEX(Schedule_Data!$L:$L,MATCH($B$4&amp;"|"&amp;$A32,Schedule_Data!$Q:$Q,0))="TRUE","OFF",INDEX(Schedule_Data!$J:$J,MATCH($B$4&amp;"|"&amp;$A32,Schedule_Data!$Q:$Q,0))&amp;"-"&amp;INDEX(Schedule_Data!$K:$K,MATCH($B$4&amp;"|"&amp;$A32,Schedule_Data!$Q:$Q,0))),"no record"))</f>
        <v>no record</v>
      </c>
      <c r="D32" t="str">
        <f>IF($A32="","",IFERROR(IF(INDEX(Schedule_Data!$L:$L,MATCH($B$4&amp;"|"&amp;$A32,Schedule_Data!$Q:$Q,0))="TRUE","",INDEX(Schedule_Data!$H:$H,MATCH($B$4&amp;"|"&amp;$A32,Schedule_Data!$Q:$Q,0))&amp;"-"&amp;INDEX(Schedule_Data!$I:$I,MATCH($B$4&amp;"|"&amp;$A32,Schedule_Data!$Q:$Q,0))),""))</f>
        <v/>
      </c>
    </row>
    <row r="33">
      <c r="A33" t="str">
        <f>IFERROR(IF(DAY(DATE(VALUE(LEFT($E$4,4)),VALUE(MID($E$4,6,2)),1)+26)=27,TEXT(DATE(VALUE(LEFT($E$4,4)),VALUE(MID($E$4,6,2)),27),"yyyy-mm-dd"),""),"")</f>
        <v>2026-07-27</v>
      </c>
      <c r="B33" t="str">
        <f>IF($A33="","",TEXT(DATEVALUE($A33),"ddd"))</f>
        <v>Mon</v>
      </c>
      <c r="C33" t="str">
        <f>IF($A33="","",IFERROR(IF(INDEX(Schedule_Data!$L:$L,MATCH($B$4&amp;"|"&amp;$A33,Schedule_Data!$Q:$Q,0))="TRUE","OFF",INDEX(Schedule_Data!$J:$J,MATCH($B$4&amp;"|"&amp;$A33,Schedule_Data!$Q:$Q,0))&amp;"-"&amp;INDEX(Schedule_Data!$K:$K,MATCH($B$4&amp;"|"&amp;$A33,Schedule_Data!$Q:$Q,0))),"no record"))</f>
        <v>no record</v>
      </c>
      <c r="D33" t="str">
        <f>IF($A33="","",IFERROR(IF(INDEX(Schedule_Data!$L:$L,MATCH($B$4&amp;"|"&amp;$A33,Schedule_Data!$Q:$Q,0))="TRUE","",INDEX(Schedule_Data!$H:$H,MATCH($B$4&amp;"|"&amp;$A33,Schedule_Data!$Q:$Q,0))&amp;"-"&amp;INDEX(Schedule_Data!$I:$I,MATCH($B$4&amp;"|"&amp;$A33,Schedule_Data!$Q:$Q,0))),""))</f>
        <v/>
      </c>
    </row>
    <row r="34">
      <c r="A34" t="str">
        <f>IFERROR(IF(DAY(DATE(VALUE(LEFT($E$4,4)),VALUE(MID($E$4,6,2)),1)+27)=28,TEXT(DATE(VALUE(LEFT($E$4,4)),VALUE(MID($E$4,6,2)),28),"yyyy-mm-dd"),""),"")</f>
        <v>2026-07-28</v>
      </c>
      <c r="B34" t="str">
        <f>IF($A34="","",TEXT(DATEVALUE($A34),"ddd"))</f>
        <v>Tue</v>
      </c>
      <c r="C34" t="str">
        <f>IF($A34="","",IFERROR(IF(INDEX(Schedule_Data!$L:$L,MATCH($B$4&amp;"|"&amp;$A34,Schedule_Data!$Q:$Q,0))="TRUE","OFF",INDEX(Schedule_Data!$J:$J,MATCH($B$4&amp;"|"&amp;$A34,Schedule_Data!$Q:$Q,0))&amp;"-"&amp;INDEX(Schedule_Data!$K:$K,MATCH($B$4&amp;"|"&amp;$A34,Schedule_Data!$Q:$Q,0))),"no record"))</f>
        <v>no record</v>
      </c>
      <c r="D34" t="str">
        <f>IF($A34="","",IFERROR(IF(INDEX(Schedule_Data!$L:$L,MATCH($B$4&amp;"|"&amp;$A34,Schedule_Data!$Q:$Q,0))="TRUE","",INDEX(Schedule_Data!$H:$H,MATCH($B$4&amp;"|"&amp;$A34,Schedule_Data!$Q:$Q,0))&amp;"-"&amp;INDEX(Schedule_Data!$I:$I,MATCH($B$4&amp;"|"&amp;$A34,Schedule_Data!$Q:$Q,0))),""))</f>
        <v/>
      </c>
    </row>
    <row r="35">
      <c r="A35" t="str">
        <f>IFERROR(IF(DAY(DATE(VALUE(LEFT($E$4,4)),VALUE(MID($E$4,6,2)),1)+28)=29,TEXT(DATE(VALUE(LEFT($E$4,4)),VALUE(MID($E$4,6,2)),29),"yyyy-mm-dd"),""),"")</f>
        <v>2026-07-29</v>
      </c>
      <c r="B35" t="str">
        <f>IF($A35="","",TEXT(DATEVALUE($A35),"ddd"))</f>
        <v>Wed</v>
      </c>
      <c r="C35" t="str">
        <f>IF($A35="","",IFERROR(IF(INDEX(Schedule_Data!$L:$L,MATCH($B$4&amp;"|"&amp;$A35,Schedule_Data!$Q:$Q,0))="TRUE","OFF",INDEX(Schedule_Data!$J:$J,MATCH($B$4&amp;"|"&amp;$A35,Schedule_Data!$Q:$Q,0))&amp;"-"&amp;INDEX(Schedule_Data!$K:$K,MATCH($B$4&amp;"|"&amp;$A35,Schedule_Data!$Q:$Q,0))),"no record"))</f>
        <v>no record</v>
      </c>
      <c r="D35" t="str">
        <f>IF($A35="","",IFERROR(IF(INDEX(Schedule_Data!$L:$L,MATCH($B$4&amp;"|"&amp;$A35,Schedule_Data!$Q:$Q,0))="TRUE","",INDEX(Schedule_Data!$H:$H,MATCH($B$4&amp;"|"&amp;$A35,Schedule_Data!$Q:$Q,0))&amp;"-"&amp;INDEX(Schedule_Data!$I:$I,MATCH($B$4&amp;"|"&amp;$A35,Schedule_Data!$Q:$Q,0))),""))</f>
        <v/>
      </c>
    </row>
    <row r="36">
      <c r="A36" t="str">
        <f>IFERROR(IF(DAY(DATE(VALUE(LEFT($E$4,4)),VALUE(MID($E$4,6,2)),1)+29)=30,TEXT(DATE(VALUE(LEFT($E$4,4)),VALUE(MID($E$4,6,2)),30),"yyyy-mm-dd"),""),"")</f>
        <v>2026-07-30</v>
      </c>
      <c r="B36" t="str">
        <f>IF($A36="","",TEXT(DATEVALUE($A36),"ddd"))</f>
        <v>Thu</v>
      </c>
      <c r="C36" t="str">
        <f>IF($A36="","",IFERROR(IF(INDEX(Schedule_Data!$L:$L,MATCH($B$4&amp;"|"&amp;$A36,Schedule_Data!$Q:$Q,0))="TRUE","OFF",INDEX(Schedule_Data!$J:$J,MATCH($B$4&amp;"|"&amp;$A36,Schedule_Data!$Q:$Q,0))&amp;"-"&amp;INDEX(Schedule_Data!$K:$K,MATCH($B$4&amp;"|"&amp;$A36,Schedule_Data!$Q:$Q,0))),"no record"))</f>
        <v>no record</v>
      </c>
      <c r="D36" t="str">
        <f>IF($A36="","",IFERROR(IF(INDEX(Schedule_Data!$L:$L,MATCH($B$4&amp;"|"&amp;$A36,Schedule_Data!$Q:$Q,0))="TRUE","",INDEX(Schedule_Data!$H:$H,MATCH($B$4&amp;"|"&amp;$A36,Schedule_Data!$Q:$Q,0))&amp;"-"&amp;INDEX(Schedule_Data!$I:$I,MATCH($B$4&amp;"|"&amp;$A36,Schedule_Data!$Q:$Q,0))),""))</f>
        <v/>
      </c>
    </row>
    <row r="37">
      <c r="A37" t="str">
        <f>IFERROR(IF(DAY(DATE(VALUE(LEFT($E$4,4)),VALUE(MID($E$4,6,2)),1)+30)=31,TEXT(DATE(VALUE(LEFT($E$4,4)),VALUE(MID($E$4,6,2)),31),"yyyy-mm-dd"),""),"")</f>
        <v>2026-07-31</v>
      </c>
      <c r="B37" t="str">
        <f>IF($A37="","",TEXT(DATEVALUE($A37),"ddd"))</f>
        <v>Fri</v>
      </c>
      <c r="C37" t="str">
        <f>IF($A37="","",IFERROR(IF(INDEX(Schedule_Data!$L:$L,MATCH($B$4&amp;"|"&amp;$A37,Schedule_Data!$Q:$Q,0))="TRUE","OFF",INDEX(Schedule_Data!$J:$J,MATCH($B$4&amp;"|"&amp;$A37,Schedule_Data!$Q:$Q,0))&amp;"-"&amp;INDEX(Schedule_Data!$K:$K,MATCH($B$4&amp;"|"&amp;$A37,Schedule_Data!$Q:$Q,0))),"no record"))</f>
        <v>no record</v>
      </c>
      <c r="D37" t="str">
        <f>IF($A37="","",IFERROR(IF(INDEX(Schedule_Data!$L:$L,MATCH($B$4&amp;"|"&amp;$A37,Schedule_Data!$Q:$Q,0))="TRUE","",INDEX(Schedule_Data!$H:$H,MATCH($B$4&amp;"|"&amp;$A37,Schedule_Data!$Q:$Q,0))&amp;"-"&amp;INDEX(Schedule_Data!$I:$I,MATCH($B$4&amp;"|"&amp;$A37,Schedule_Data!$Q:$Q,0))),""))</f>
        <v/>
      </c>
    </row>
  </sheetData>
  <mergeCells count="2">
    <mergeCell ref="A2:H2"/>
    <mergeCell ref="A1:H1"/>
  </mergeCells>
  <pageMargins left="0.7" right="0.7" top="0.75" bottom="0.75" header="0.3" footer="0.3"/>
  <ignoredErrors>
    <ignoredError numberStoredAsText="1" sqref="A1:H37"/>
  </ignoredErrors>
</worksheet>
</file>

<file path=xl/worksheets/sheet5.xml><?xml version="1.0" encoding="utf-8"?>
<worksheet xmlns="http://schemas.openxmlformats.org/spreadsheetml/2006/main" xmlns:r="http://schemas.openxmlformats.org/officeDocument/2006/relationships">
  <dimension ref="A1:O2"/>
  <sheetViews>
    <sheetView workbookViewId="0" rightToLeft="0"/>
  </sheetViews>
  <sheetData>
    <row r="1">
      <c r="A1" t="str">
        <v>team_id</v>
      </c>
      <c r="B1" t="str">
        <v>team_name</v>
      </c>
      <c r="C1" t="str">
        <v>leader_person_id</v>
      </c>
      <c r="D1" t="str">
        <v>leader_name</v>
      </c>
      <c r="E1" t="str">
        <v>department</v>
      </c>
      <c r="F1" t="str">
        <v>in_people_hub</v>
      </c>
      <c r="G1" t="str">
        <v>notes</v>
      </c>
      <c r="H1" t="str">
        <v>row_version</v>
      </c>
      <c r="I1" t="str">
        <v>sync_status</v>
      </c>
      <c r="J1" t="str">
        <v>last_modified_utc</v>
      </c>
      <c r="K1" t="str">
        <v>modified_by</v>
      </c>
      <c r="L1" t="str">
        <v>change_reason</v>
      </c>
      <c r="M1" t="str">
        <v>is_deleted</v>
      </c>
      <c r="N1" t="str">
        <v>source_id</v>
      </c>
      <c r="O1" t="str">
        <v>authority_rank</v>
      </c>
    </row>
  </sheetData>
  <pageMargins left="0.7" right="0.7" top="0.75" bottom="0.75" header="0.3" footer="0.3"/>
  <ignoredErrors>
    <ignoredError numberStoredAsText="1" sqref="A1:O2"/>
  </ignoredErrors>
</worksheet>
</file>

<file path=xl/worksheets/sheet6.xml><?xml version="1.0" encoding="utf-8"?>
<worksheet xmlns="http://schemas.openxmlformats.org/spreadsheetml/2006/main" xmlns:r="http://schemas.openxmlformats.org/officeDocument/2006/relationships">
  <dimension ref="A1:F2"/>
  <sheetViews>
    <sheetView workbookViewId="0" rightToLeft="0"/>
  </sheetViews>
  <sheetData>
    <row r="1">
      <c r="A1" t="str">
        <v>schedule_import_batch_id</v>
      </c>
      <c r="B1" t="str">
        <v>imported_utc</v>
      </c>
      <c r="C1" t="str">
        <v>source_id</v>
      </c>
      <c r="D1" t="str">
        <v>row_count</v>
      </c>
      <c r="E1" t="str">
        <v>result</v>
      </c>
      <c r="F1" t="str">
        <v>notes</v>
      </c>
    </row>
  </sheetData>
  <pageMargins left="0.7" right="0.7" top="0.75" bottom="0.75" header="0.3" footer="0.3"/>
  <ignoredErrors>
    <ignoredError numberStoredAsText="1" sqref="A1:F2"/>
  </ignoredErrors>
</worksheet>
</file>

<file path=xl/worksheets/sheet7.xml><?xml version="1.0" encoding="utf-8"?>
<worksheet xmlns="http://schemas.openxmlformats.org/spreadsheetml/2006/main" xmlns:r="http://schemas.openxmlformats.org/officeDocument/2006/relationships">
  <dimension ref="A1:Y85"/>
  <sheetViews>
    <sheetView workbookViewId="0" rightToLeft="0"/>
  </sheetViews>
  <sheetData>
    <row r="1">
      <c r="A1" t="str">
        <v>schedule_entry_id</v>
      </c>
      <c r="B1" t="str">
        <v>person_id</v>
      </c>
      <c r="C1" t="str">
        <v>person_name</v>
      </c>
      <c r="D1" t="str">
        <v>team_name</v>
      </c>
      <c r="E1" t="str">
        <v>department</v>
      </c>
      <c r="F1" t="str">
        <v>date</v>
      </c>
      <c r="G1" t="str">
        <v>day_of_week</v>
      </c>
      <c r="H1" t="str">
        <v>uk_start</v>
      </c>
      <c r="I1" t="str">
        <v>uk_end</v>
      </c>
      <c r="J1" t="str">
        <v>sa_start</v>
      </c>
      <c r="K1" t="str">
        <v>sa_end</v>
      </c>
      <c r="L1" t="str">
        <v>is_off</v>
      </c>
      <c r="M1" t="str">
        <v>source_format</v>
      </c>
      <c r="N1" t="str">
        <v>import_batch_id</v>
      </c>
      <c r="O1" t="str">
        <v>notes</v>
      </c>
      <c r="P1" t="str">
        <v>pid_key</v>
      </c>
      <c r="Q1" t="str">
        <v>name_key</v>
      </c>
      <c r="R1" t="str">
        <v>row_version</v>
      </c>
      <c r="S1" t="str">
        <v>sync_status</v>
      </c>
      <c r="T1" t="str">
        <v>last_modified_utc</v>
      </c>
      <c r="U1" t="str">
        <v>modified_by</v>
      </c>
      <c r="V1" t="str">
        <v>change_reason</v>
      </c>
      <c r="W1" t="str">
        <v>is_deleted</v>
      </c>
      <c r="X1" t="str">
        <v>source_id</v>
      </c>
      <c r="Y1" t="str">
        <v>authority_rank</v>
      </c>
    </row>
    <row r="2">
      <c r="A2" t="str">
        <v>SE-2026-04-02-P-0001</v>
      </c>
      <c r="B2" t="str">
        <v>P-0001</v>
      </c>
      <c r="C2" t="str">
        <v>Amara Okafor</v>
      </c>
      <c r="D2" t="str">
        <v>Early</v>
      </c>
      <c r="E2" t="str">
        <v>Operations</v>
      </c>
      <c r="F2" t="str">
        <v>2026-04-02</v>
      </c>
      <c r="G2" t="str">
        <v>Thu</v>
      </c>
      <c r="H2" t="str">
        <v>07:00</v>
      </c>
      <c r="I2" t="str">
        <v>15:00</v>
      </c>
      <c r="J2" t="str">
        <v/>
      </c>
      <c r="K2" t="str">
        <v/>
      </c>
      <c r="L2" t="str">
        <v>FALSE</v>
      </c>
      <c r="M2" t="str">
        <v>schedulehub_v3</v>
      </c>
      <c r="N2" t="str">
        <v>BATCH-0001</v>
      </c>
      <c r="O2" t="str">
        <v/>
      </c>
      <c r="P2" t="str">
        <v>p-0001</v>
      </c>
      <c r="Q2" t="str">
        <v>amara okafor</v>
      </c>
      <c r="R2">
        <v>1</v>
      </c>
      <c r="S2" t="str">
        <v>synced</v>
      </c>
      <c r="T2" t="str">
        <v>2026-03-01T08:00:00Z</v>
      </c>
      <c r="U2" t="str">
        <v>fixture</v>
      </c>
      <c r="V2" t="str">
        <v/>
      </c>
      <c r="W2" t="str">
        <v>FALSE</v>
      </c>
      <c r="X2" t="str">
        <v>MF-SRC-SCHEDULEHUB-V3</v>
      </c>
      <c r="Y2">
        <v>2</v>
      </c>
    </row>
    <row r="3">
      <c r="A3" t="str">
        <v>SE-2026-04-02-P-0002</v>
      </c>
      <c r="B3" t="str">
        <v>P-0002</v>
      </c>
      <c r="C3" t="str">
        <v>Ben Sorensen</v>
      </c>
      <c r="D3" t="str">
        <v>Early</v>
      </c>
      <c r="E3" t="str">
        <v>Operations</v>
      </c>
      <c r="F3" t="str">
        <v>2026-04-02</v>
      </c>
      <c r="G3" t="str">
        <v>Thu</v>
      </c>
      <c r="H3" t="str">
        <v>07:00</v>
      </c>
      <c r="I3" t="str">
        <v>15:00</v>
      </c>
      <c r="J3" t="str">
        <v/>
      </c>
      <c r="K3" t="str">
        <v/>
      </c>
      <c r="L3" t="str">
        <v>FALSE</v>
      </c>
      <c r="M3" t="str">
        <v>schedulehub_v3</v>
      </c>
      <c r="N3" t="str">
        <v>BATCH-0001</v>
      </c>
      <c r="O3" t="str">
        <v/>
      </c>
      <c r="P3" t="str">
        <v>p-0002</v>
      </c>
      <c r="Q3" t="str">
        <v>ben sorensen</v>
      </c>
      <c r="R3">
        <v>1</v>
      </c>
      <c r="S3" t="str">
        <v>synced</v>
      </c>
      <c r="T3" t="str">
        <v>2026-03-01T08:00:00Z</v>
      </c>
      <c r="U3" t="str">
        <v>fixture</v>
      </c>
      <c r="V3" t="str">
        <v/>
      </c>
      <c r="W3" t="str">
        <v>FALSE</v>
      </c>
      <c r="X3" t="str">
        <v>MF-SRC-SCHEDULEHUB-V3</v>
      </c>
      <c r="Y3">
        <v>2</v>
      </c>
    </row>
    <row r="4">
      <c r="A4" t="str">
        <v>SE-2026-04-02-P-0003</v>
      </c>
      <c r="B4" t="str">
        <v>P-0003</v>
      </c>
      <c r="C4" t="str">
        <v>Chloe Duarte</v>
      </c>
      <c r="D4" t="str">
        <v>Early</v>
      </c>
      <c r="E4" t="str">
        <v>Operations</v>
      </c>
      <c r="F4" t="str">
        <v>2026-04-02</v>
      </c>
      <c r="G4" t="str">
        <v>Thu</v>
      </c>
      <c r="H4" t="str">
        <v>07:00</v>
      </c>
      <c r="I4" t="str">
        <v>15:00</v>
      </c>
      <c r="J4" t="str">
        <v/>
      </c>
      <c r="K4" t="str">
        <v/>
      </c>
      <c r="L4" t="str">
        <v>FALSE</v>
      </c>
      <c r="M4" t="str">
        <v>schedulehub_v3</v>
      </c>
      <c r="N4" t="str">
        <v>BATCH-0001</v>
      </c>
      <c r="O4" t="str">
        <v/>
      </c>
      <c r="P4" t="str">
        <v>p-0003</v>
      </c>
      <c r="Q4" t="str">
        <v>chloe duarte</v>
      </c>
      <c r="R4">
        <v>1</v>
      </c>
      <c r="S4" t="str">
        <v>synced</v>
      </c>
      <c r="T4" t="str">
        <v>2026-03-01T08:00:00Z</v>
      </c>
      <c r="U4" t="str">
        <v>fixture</v>
      </c>
      <c r="V4" t="str">
        <v/>
      </c>
      <c r="W4" t="str">
        <v>FALSE</v>
      </c>
      <c r="X4" t="str">
        <v>MF-SRC-SCHEDULEHUB-V3</v>
      </c>
      <c r="Y4">
        <v>2</v>
      </c>
    </row>
    <row r="5">
      <c r="A5" t="str">
        <v>SE-2026-04-02-P-0004</v>
      </c>
      <c r="B5" t="str">
        <v>P-0004</v>
      </c>
      <c r="C5" t="str">
        <v>Dmitri Volkov</v>
      </c>
      <c r="D5" t="str">
        <v>Late</v>
      </c>
      <c r="E5" t="str">
        <v>Operations</v>
      </c>
      <c r="F5" t="str">
        <v>2026-04-02</v>
      </c>
      <c r="G5" t="str">
        <v>Thu</v>
      </c>
      <c r="H5" t="str">
        <v/>
      </c>
      <c r="I5" t="str">
        <v/>
      </c>
      <c r="J5" t="str">
        <v/>
      </c>
      <c r="K5" t="str">
        <v/>
      </c>
      <c r="L5" t="str">
        <v>TRUE</v>
      </c>
      <c r="M5" t="str">
        <v>schedulehub_v3</v>
      </c>
      <c r="N5" t="str">
        <v>BATCH-0001</v>
      </c>
      <c r="O5" t="str">
        <v/>
      </c>
      <c r="P5" t="str">
        <v>p-0004</v>
      </c>
      <c r="Q5" t="str">
        <v>dmitri volkov</v>
      </c>
      <c r="R5">
        <v>1</v>
      </c>
      <c r="S5" t="str">
        <v>synced</v>
      </c>
      <c r="T5" t="str">
        <v>2026-03-01T08:00:00Z</v>
      </c>
      <c r="U5" t="str">
        <v>fixture</v>
      </c>
      <c r="V5" t="str">
        <v/>
      </c>
      <c r="W5" t="str">
        <v>FALSE</v>
      </c>
      <c r="X5" t="str">
        <v>MF-SRC-SCHEDULEHUB-V3</v>
      </c>
      <c r="Y5">
        <v>2</v>
      </c>
    </row>
    <row r="6">
      <c r="A6" t="str">
        <v>SE-2026-04-02-P-0005</v>
      </c>
      <c r="B6" t="str">
        <v>P-0005</v>
      </c>
      <c r="C6" t="str">
        <v>Esi Mensah</v>
      </c>
      <c r="D6" t="str">
        <v>Late</v>
      </c>
      <c r="E6" t="str">
        <v>Operations</v>
      </c>
      <c r="F6" t="str">
        <v>2026-04-02</v>
      </c>
      <c r="G6" t="str">
        <v>Thu</v>
      </c>
      <c r="H6" t="str">
        <v>12:00</v>
      </c>
      <c r="I6" t="str">
        <v>20:00</v>
      </c>
      <c r="J6" t="str">
        <v/>
      </c>
      <c r="K6" t="str">
        <v/>
      </c>
      <c r="L6" t="str">
        <v>FALSE</v>
      </c>
      <c r="M6" t="str">
        <v>schedulehub_v3</v>
      </c>
      <c r="N6" t="str">
        <v>BATCH-0001</v>
      </c>
      <c r="O6" t="str">
        <v/>
      </c>
      <c r="P6" t="str">
        <v>p-0005</v>
      </c>
      <c r="Q6" t="str">
        <v>esi mensah</v>
      </c>
      <c r="R6">
        <v>1</v>
      </c>
      <c r="S6" t="str">
        <v>synced</v>
      </c>
      <c r="T6" t="str">
        <v>2026-03-01T08:00:00Z</v>
      </c>
      <c r="U6" t="str">
        <v>fixture</v>
      </c>
      <c r="V6" t="str">
        <v/>
      </c>
      <c r="W6" t="str">
        <v>FALSE</v>
      </c>
      <c r="X6" t="str">
        <v>MF-SRC-SCHEDULEHUB-V3</v>
      </c>
      <c r="Y6">
        <v>2</v>
      </c>
    </row>
    <row r="7">
      <c r="A7" t="str">
        <v>SE-2026-04-02-P-0006</v>
      </c>
      <c r="B7" t="str">
        <v>P-0006</v>
      </c>
      <c r="C7" t="str">
        <v>Farid Haddad</v>
      </c>
      <c r="D7" t="str">
        <v>Late</v>
      </c>
      <c r="E7" t="str">
        <v>Operations</v>
      </c>
      <c r="F7" t="str">
        <v>2026-04-02</v>
      </c>
      <c r="G7" t="str">
        <v>Thu</v>
      </c>
      <c r="H7" t="str">
        <v>12:00</v>
      </c>
      <c r="I7" t="str">
        <v>20:00</v>
      </c>
      <c r="J7" t="str">
        <v/>
      </c>
      <c r="K7" t="str">
        <v/>
      </c>
      <c r="L7" t="str">
        <v>FALSE</v>
      </c>
      <c r="M7" t="str">
        <v>schedulehub_v3</v>
      </c>
      <c r="N7" t="str">
        <v>BATCH-0001</v>
      </c>
      <c r="O7" t="str">
        <v/>
      </c>
      <c r="P7" t="str">
        <v>p-0006</v>
      </c>
      <c r="Q7" t="str">
        <v>farid haddad</v>
      </c>
      <c r="R7">
        <v>1</v>
      </c>
      <c r="S7" t="str">
        <v>synced</v>
      </c>
      <c r="T7" t="str">
        <v>2026-03-01T08:00:00Z</v>
      </c>
      <c r="U7" t="str">
        <v>fixture</v>
      </c>
      <c r="V7" t="str">
        <v/>
      </c>
      <c r="W7" t="str">
        <v>FALSE</v>
      </c>
      <c r="X7" t="str">
        <v>MF-SRC-SCHEDULEHUB-V3</v>
      </c>
      <c r="Y7">
        <v>2</v>
      </c>
    </row>
    <row r="8">
      <c r="A8" t="str">
        <v>SE-2026-04-03-P-0001</v>
      </c>
      <c r="B8" t="str">
        <v>P-0001</v>
      </c>
      <c r="C8" t="str">
        <v>Amara Okafor</v>
      </c>
      <c r="D8" t="str">
        <v>Early</v>
      </c>
      <c r="E8" t="str">
        <v>Operations</v>
      </c>
      <c r="F8" t="str">
        <v>2026-04-03</v>
      </c>
      <c r="G8" t="str">
        <v>Fri</v>
      </c>
      <c r="H8" t="str">
        <v>07:00</v>
      </c>
      <c r="I8" t="str">
        <v>15:00</v>
      </c>
      <c r="J8" t="str">
        <v/>
      </c>
      <c r="K8" t="str">
        <v/>
      </c>
      <c r="L8" t="str">
        <v>FALSE</v>
      </c>
      <c r="M8" t="str">
        <v>schedulehub_v3</v>
      </c>
      <c r="N8" t="str">
        <v>BATCH-0001</v>
      </c>
      <c r="O8" t="str">
        <v/>
      </c>
      <c r="P8" t="str">
        <v>p-0001</v>
      </c>
      <c r="Q8" t="str">
        <v>amara okafor</v>
      </c>
      <c r="R8">
        <v>1</v>
      </c>
      <c r="S8" t="str">
        <v>synced</v>
      </c>
      <c r="T8" t="str">
        <v>2026-03-01T08:00:00Z</v>
      </c>
      <c r="U8" t="str">
        <v>fixture</v>
      </c>
      <c r="V8" t="str">
        <v/>
      </c>
      <c r="W8" t="str">
        <v>FALSE</v>
      </c>
      <c r="X8" t="str">
        <v>MF-SRC-SCHEDULEHUB-V3</v>
      </c>
      <c r="Y8">
        <v>2</v>
      </c>
    </row>
    <row r="9">
      <c r="A9" t="str">
        <v>SE-2026-04-03-P-0002</v>
      </c>
      <c r="B9" t="str">
        <v>P-0002</v>
      </c>
      <c r="C9" t="str">
        <v>Ben Sorensen</v>
      </c>
      <c r="D9" t="str">
        <v>Early</v>
      </c>
      <c r="E9" t="str">
        <v>Operations</v>
      </c>
      <c r="F9" t="str">
        <v>2026-04-03</v>
      </c>
      <c r="G9" t="str">
        <v>Fri</v>
      </c>
      <c r="H9" t="str">
        <v>07:00</v>
      </c>
      <c r="I9" t="str">
        <v>15:00</v>
      </c>
      <c r="J9" t="str">
        <v/>
      </c>
      <c r="K9" t="str">
        <v/>
      </c>
      <c r="L9" t="str">
        <v>FALSE</v>
      </c>
      <c r="M9" t="str">
        <v>schedulehub_v3</v>
      </c>
      <c r="N9" t="str">
        <v>BATCH-0001</v>
      </c>
      <c r="O9" t="str">
        <v/>
      </c>
      <c r="P9" t="str">
        <v>p-0002</v>
      </c>
      <c r="Q9" t="str">
        <v>ben sorensen</v>
      </c>
      <c r="R9">
        <v>1</v>
      </c>
      <c r="S9" t="str">
        <v>synced</v>
      </c>
      <c r="T9" t="str">
        <v>2026-03-01T08:00:00Z</v>
      </c>
      <c r="U9" t="str">
        <v>fixture</v>
      </c>
      <c r="V9" t="str">
        <v/>
      </c>
      <c r="W9" t="str">
        <v>FALSE</v>
      </c>
      <c r="X9" t="str">
        <v>MF-SRC-SCHEDULEHUB-V3</v>
      </c>
      <c r="Y9">
        <v>2</v>
      </c>
    </row>
    <row r="10">
      <c r="A10" t="str">
        <v>SE-2026-04-03-P-0003</v>
      </c>
      <c r="B10" t="str">
        <v>P-0003</v>
      </c>
      <c r="C10" t="str">
        <v>Chloe Duarte</v>
      </c>
      <c r="D10" t="str">
        <v>Early</v>
      </c>
      <c r="E10" t="str">
        <v>Operations</v>
      </c>
      <c r="F10" t="str">
        <v>2026-04-03</v>
      </c>
      <c r="G10" t="str">
        <v>Fri</v>
      </c>
      <c r="H10" t="str">
        <v/>
      </c>
      <c r="I10" t="str">
        <v/>
      </c>
      <c r="J10" t="str">
        <v/>
      </c>
      <c r="K10" t="str">
        <v/>
      </c>
      <c r="L10" t="str">
        <v>TRUE</v>
      </c>
      <c r="M10" t="str">
        <v>schedulehub_v3</v>
      </c>
      <c r="N10" t="str">
        <v>BATCH-0001</v>
      </c>
      <c r="O10" t="str">
        <v/>
      </c>
      <c r="P10" t="str">
        <v>p-0003</v>
      </c>
      <c r="Q10" t="str">
        <v>chloe duarte</v>
      </c>
      <c r="R10">
        <v>1</v>
      </c>
      <c r="S10" t="str">
        <v>synced</v>
      </c>
      <c r="T10" t="str">
        <v>2026-03-01T08:00:00Z</v>
      </c>
      <c r="U10" t="str">
        <v>fixture</v>
      </c>
      <c r="V10" t="str">
        <v/>
      </c>
      <c r="W10" t="str">
        <v>FALSE</v>
      </c>
      <c r="X10" t="str">
        <v>MF-SRC-SCHEDULEHUB-V3</v>
      </c>
      <c r="Y10">
        <v>2</v>
      </c>
    </row>
    <row r="11">
      <c r="A11" t="str">
        <v>SE-2026-04-03-P-0004</v>
      </c>
      <c r="B11" t="str">
        <v>P-0004</v>
      </c>
      <c r="C11" t="str">
        <v>Dmitri Volkov</v>
      </c>
      <c r="D11" t="str">
        <v>Late</v>
      </c>
      <c r="E11" t="str">
        <v>Operations</v>
      </c>
      <c r="F11" t="str">
        <v>2026-04-03</v>
      </c>
      <c r="G11" t="str">
        <v>Fri</v>
      </c>
      <c r="H11" t="str">
        <v>12:00</v>
      </c>
      <c r="I11" t="str">
        <v>20:00</v>
      </c>
      <c r="J11" t="str">
        <v/>
      </c>
      <c r="K11" t="str">
        <v/>
      </c>
      <c r="L11" t="str">
        <v>FALSE</v>
      </c>
      <c r="M11" t="str">
        <v>schedulehub_v3</v>
      </c>
      <c r="N11" t="str">
        <v>BATCH-0001</v>
      </c>
      <c r="O11" t="str">
        <v/>
      </c>
      <c r="P11" t="str">
        <v>p-0004</v>
      </c>
      <c r="Q11" t="str">
        <v>dmitri volkov</v>
      </c>
      <c r="R11">
        <v>1</v>
      </c>
      <c r="S11" t="str">
        <v>synced</v>
      </c>
      <c r="T11" t="str">
        <v>2026-03-01T08:00:00Z</v>
      </c>
      <c r="U11" t="str">
        <v>fixture</v>
      </c>
      <c r="V11" t="str">
        <v/>
      </c>
      <c r="W11" t="str">
        <v>FALSE</v>
      </c>
      <c r="X11" t="str">
        <v>MF-SRC-SCHEDULEHUB-V3</v>
      </c>
      <c r="Y11">
        <v>2</v>
      </c>
    </row>
    <row r="12">
      <c r="A12" t="str">
        <v>SE-2026-04-03-P-0005</v>
      </c>
      <c r="B12" t="str">
        <v>P-0005</v>
      </c>
      <c r="C12" t="str">
        <v>Esi Mensah</v>
      </c>
      <c r="D12" t="str">
        <v>Late</v>
      </c>
      <c r="E12" t="str">
        <v>Operations</v>
      </c>
      <c r="F12" t="str">
        <v>2026-04-03</v>
      </c>
      <c r="G12" t="str">
        <v>Fri</v>
      </c>
      <c r="H12" t="str">
        <v>12:00</v>
      </c>
      <c r="I12" t="str">
        <v>20:00</v>
      </c>
      <c r="J12" t="str">
        <v/>
      </c>
      <c r="K12" t="str">
        <v/>
      </c>
      <c r="L12" t="str">
        <v>FALSE</v>
      </c>
      <c r="M12" t="str">
        <v>schedulehub_v3</v>
      </c>
      <c r="N12" t="str">
        <v>BATCH-0001</v>
      </c>
      <c r="O12" t="str">
        <v/>
      </c>
      <c r="P12" t="str">
        <v>p-0005</v>
      </c>
      <c r="Q12" t="str">
        <v>esi mensah</v>
      </c>
      <c r="R12">
        <v>1</v>
      </c>
      <c r="S12" t="str">
        <v>synced</v>
      </c>
      <c r="T12" t="str">
        <v>2026-03-01T08:00:00Z</v>
      </c>
      <c r="U12" t="str">
        <v>fixture</v>
      </c>
      <c r="V12" t="str">
        <v/>
      </c>
      <c r="W12" t="str">
        <v>FALSE</v>
      </c>
      <c r="X12" t="str">
        <v>MF-SRC-SCHEDULEHUB-V3</v>
      </c>
      <c r="Y12">
        <v>2</v>
      </c>
    </row>
    <row r="13">
      <c r="A13" t="str">
        <v>SE-2026-04-03-P-0006</v>
      </c>
      <c r="B13" t="str">
        <v>P-0006</v>
      </c>
      <c r="C13" t="str">
        <v>Farid Haddad</v>
      </c>
      <c r="D13" t="str">
        <v>Late</v>
      </c>
      <c r="E13" t="str">
        <v>Operations</v>
      </c>
      <c r="F13" t="str">
        <v>2026-04-03</v>
      </c>
      <c r="G13" t="str">
        <v>Fri</v>
      </c>
      <c r="H13" t="str">
        <v>12:00</v>
      </c>
      <c r="I13" t="str">
        <v>20:00</v>
      </c>
      <c r="J13" t="str">
        <v/>
      </c>
      <c r="K13" t="str">
        <v/>
      </c>
      <c r="L13" t="str">
        <v>FALSE</v>
      </c>
      <c r="M13" t="str">
        <v>schedulehub_v3</v>
      </c>
      <c r="N13" t="str">
        <v>BATCH-0001</v>
      </c>
      <c r="O13" t="str">
        <v/>
      </c>
      <c r="P13" t="str">
        <v>p-0006</v>
      </c>
      <c r="Q13" t="str">
        <v>farid haddad</v>
      </c>
      <c r="R13">
        <v>1</v>
      </c>
      <c r="S13" t="str">
        <v>synced</v>
      </c>
      <c r="T13" t="str">
        <v>2026-03-01T08:00:00Z</v>
      </c>
      <c r="U13" t="str">
        <v>fixture</v>
      </c>
      <c r="V13" t="str">
        <v/>
      </c>
      <c r="W13" t="str">
        <v>FALSE</v>
      </c>
      <c r="X13" t="str">
        <v>MF-SRC-SCHEDULEHUB-V3</v>
      </c>
      <c r="Y13">
        <v>2</v>
      </c>
    </row>
    <row r="14">
      <c r="A14" t="str">
        <v>SE-2026-04-04-P-0001</v>
      </c>
      <c r="B14" t="str">
        <v>P-0001</v>
      </c>
      <c r="C14" t="str">
        <v>Amara Okafor</v>
      </c>
      <c r="D14" t="str">
        <v>Early</v>
      </c>
      <c r="E14" t="str">
        <v>Operations</v>
      </c>
      <c r="F14" t="str">
        <v>2026-04-04</v>
      </c>
      <c r="G14" t="str">
        <v>Sat</v>
      </c>
      <c r="H14" t="str">
        <v>07:00</v>
      </c>
      <c r="I14" t="str">
        <v>15:00</v>
      </c>
      <c r="J14" t="str">
        <v/>
      </c>
      <c r="K14" t="str">
        <v/>
      </c>
      <c r="L14" t="str">
        <v>FALSE</v>
      </c>
      <c r="M14" t="str">
        <v>schedulehub_v3</v>
      </c>
      <c r="N14" t="str">
        <v>BATCH-0001</v>
      </c>
      <c r="O14" t="str">
        <v/>
      </c>
      <c r="P14" t="str">
        <v>p-0001</v>
      </c>
      <c r="Q14" t="str">
        <v>amara okafor</v>
      </c>
      <c r="R14">
        <v>1</v>
      </c>
      <c r="S14" t="str">
        <v>synced</v>
      </c>
      <c r="T14" t="str">
        <v>2026-03-01T08:00:00Z</v>
      </c>
      <c r="U14" t="str">
        <v>fixture</v>
      </c>
      <c r="V14" t="str">
        <v/>
      </c>
      <c r="W14" t="str">
        <v>FALSE</v>
      </c>
      <c r="X14" t="str">
        <v>MF-SRC-SCHEDULEHUB-V3</v>
      </c>
      <c r="Y14">
        <v>2</v>
      </c>
    </row>
    <row r="15">
      <c r="A15" t="str">
        <v>SE-2026-04-04-P-0002</v>
      </c>
      <c r="B15" t="str">
        <v>P-0002</v>
      </c>
      <c r="C15" t="str">
        <v>Ben Sorensen</v>
      </c>
      <c r="D15" t="str">
        <v>Early</v>
      </c>
      <c r="E15" t="str">
        <v>Operations</v>
      </c>
      <c r="F15" t="str">
        <v>2026-04-04</v>
      </c>
      <c r="G15" t="str">
        <v>Sat</v>
      </c>
      <c r="H15" t="str">
        <v>07:00</v>
      </c>
      <c r="I15" t="str">
        <v>15:00</v>
      </c>
      <c r="J15" t="str">
        <v/>
      </c>
      <c r="K15" t="str">
        <v/>
      </c>
      <c r="L15" t="str">
        <v>FALSE</v>
      </c>
      <c r="M15" t="str">
        <v>schedulehub_v3</v>
      </c>
      <c r="N15" t="str">
        <v>BATCH-0001</v>
      </c>
      <c r="O15" t="str">
        <v/>
      </c>
      <c r="P15" t="str">
        <v>p-0002</v>
      </c>
      <c r="Q15" t="str">
        <v>ben sorensen</v>
      </c>
      <c r="R15">
        <v>1</v>
      </c>
      <c r="S15" t="str">
        <v>synced</v>
      </c>
      <c r="T15" t="str">
        <v>2026-03-01T08:00:00Z</v>
      </c>
      <c r="U15" t="str">
        <v>fixture</v>
      </c>
      <c r="V15" t="str">
        <v/>
      </c>
      <c r="W15" t="str">
        <v>FALSE</v>
      </c>
      <c r="X15" t="str">
        <v>MF-SRC-SCHEDULEHUB-V3</v>
      </c>
      <c r="Y15">
        <v>2</v>
      </c>
    </row>
    <row r="16">
      <c r="A16" t="str">
        <v>SE-2026-04-04-P-0003</v>
      </c>
      <c r="B16" t="str">
        <v>P-0003</v>
      </c>
      <c r="C16" t="str">
        <v>Chloe Duarte</v>
      </c>
      <c r="D16" t="str">
        <v>Early</v>
      </c>
      <c r="E16" t="str">
        <v>Operations</v>
      </c>
      <c r="F16" t="str">
        <v>2026-04-04</v>
      </c>
      <c r="G16" t="str">
        <v>Sat</v>
      </c>
      <c r="H16" t="str">
        <v/>
      </c>
      <c r="I16" t="str">
        <v/>
      </c>
      <c r="J16" t="str">
        <v/>
      </c>
      <c r="K16" t="str">
        <v/>
      </c>
      <c r="L16" t="str">
        <v>TRUE</v>
      </c>
      <c r="M16" t="str">
        <v>schedulehub_v3</v>
      </c>
      <c r="N16" t="str">
        <v>BATCH-0001</v>
      </c>
      <c r="O16" t="str">
        <v/>
      </c>
      <c r="P16" t="str">
        <v>p-0003</v>
      </c>
      <c r="Q16" t="str">
        <v>chloe duarte</v>
      </c>
      <c r="R16">
        <v>1</v>
      </c>
      <c r="S16" t="str">
        <v>synced</v>
      </c>
      <c r="T16" t="str">
        <v>2026-03-01T08:00:00Z</v>
      </c>
      <c r="U16" t="str">
        <v>fixture</v>
      </c>
      <c r="V16" t="str">
        <v/>
      </c>
      <c r="W16" t="str">
        <v>FALSE</v>
      </c>
      <c r="X16" t="str">
        <v>MF-SRC-SCHEDULEHUB-V3</v>
      </c>
      <c r="Y16">
        <v>2</v>
      </c>
    </row>
    <row r="17">
      <c r="A17" t="str">
        <v>SE-2026-04-04-P-0004</v>
      </c>
      <c r="B17" t="str">
        <v>P-0004</v>
      </c>
      <c r="C17" t="str">
        <v>Dmitri Volkov</v>
      </c>
      <c r="D17" t="str">
        <v>Late</v>
      </c>
      <c r="E17" t="str">
        <v>Operations</v>
      </c>
      <c r="F17" t="str">
        <v>2026-04-04</v>
      </c>
      <c r="G17" t="str">
        <v>Sat</v>
      </c>
      <c r="H17" t="str">
        <v>12:00</v>
      </c>
      <c r="I17" t="str">
        <v>20:00</v>
      </c>
      <c r="J17" t="str">
        <v/>
      </c>
      <c r="K17" t="str">
        <v/>
      </c>
      <c r="L17" t="str">
        <v>FALSE</v>
      </c>
      <c r="M17" t="str">
        <v>schedulehub_v3</v>
      </c>
      <c r="N17" t="str">
        <v>BATCH-0001</v>
      </c>
      <c r="O17" t="str">
        <v/>
      </c>
      <c r="P17" t="str">
        <v>p-0004</v>
      </c>
      <c r="Q17" t="str">
        <v>dmitri volkov</v>
      </c>
      <c r="R17">
        <v>1</v>
      </c>
      <c r="S17" t="str">
        <v>synced</v>
      </c>
      <c r="T17" t="str">
        <v>2026-03-01T08:00:00Z</v>
      </c>
      <c r="U17" t="str">
        <v>fixture</v>
      </c>
      <c r="V17" t="str">
        <v/>
      </c>
      <c r="W17" t="str">
        <v>FALSE</v>
      </c>
      <c r="X17" t="str">
        <v>MF-SRC-SCHEDULEHUB-V3</v>
      </c>
      <c r="Y17">
        <v>2</v>
      </c>
    </row>
    <row r="18">
      <c r="A18" t="str">
        <v>SE-2026-04-04-P-0005</v>
      </c>
      <c r="B18" t="str">
        <v>P-0005</v>
      </c>
      <c r="C18" t="str">
        <v>Esi Mensah</v>
      </c>
      <c r="D18" t="str">
        <v>Late</v>
      </c>
      <c r="E18" t="str">
        <v>Operations</v>
      </c>
      <c r="F18" t="str">
        <v>2026-04-04</v>
      </c>
      <c r="G18" t="str">
        <v>Sat</v>
      </c>
      <c r="H18" t="str">
        <v>12:00</v>
      </c>
      <c r="I18" t="str">
        <v>20:00</v>
      </c>
      <c r="J18" t="str">
        <v/>
      </c>
      <c r="K18" t="str">
        <v/>
      </c>
      <c r="L18" t="str">
        <v>FALSE</v>
      </c>
      <c r="M18" t="str">
        <v>schedulehub_v3</v>
      </c>
      <c r="N18" t="str">
        <v>BATCH-0001</v>
      </c>
      <c r="O18" t="str">
        <v/>
      </c>
      <c r="P18" t="str">
        <v>p-0005</v>
      </c>
      <c r="Q18" t="str">
        <v>esi mensah</v>
      </c>
      <c r="R18">
        <v>1</v>
      </c>
      <c r="S18" t="str">
        <v>synced</v>
      </c>
      <c r="T18" t="str">
        <v>2026-03-01T08:00:00Z</v>
      </c>
      <c r="U18" t="str">
        <v>fixture</v>
      </c>
      <c r="V18" t="str">
        <v/>
      </c>
      <c r="W18" t="str">
        <v>FALSE</v>
      </c>
      <c r="X18" t="str">
        <v>MF-SRC-SCHEDULEHUB-V3</v>
      </c>
      <c r="Y18">
        <v>2</v>
      </c>
    </row>
    <row r="19">
      <c r="A19" t="str">
        <v>SE-2026-04-04-P-0006</v>
      </c>
      <c r="B19" t="str">
        <v>P-0006</v>
      </c>
      <c r="C19" t="str">
        <v>Farid Haddad</v>
      </c>
      <c r="D19" t="str">
        <v>Late</v>
      </c>
      <c r="E19" t="str">
        <v>Operations</v>
      </c>
      <c r="F19" t="str">
        <v>2026-04-04</v>
      </c>
      <c r="G19" t="str">
        <v>Sat</v>
      </c>
      <c r="H19" t="str">
        <v/>
      </c>
      <c r="I19" t="str">
        <v/>
      </c>
      <c r="J19" t="str">
        <v/>
      </c>
      <c r="K19" t="str">
        <v/>
      </c>
      <c r="L19" t="str">
        <v>TRUE</v>
      </c>
      <c r="M19" t="str">
        <v>schedulehub_v3</v>
      </c>
      <c r="N19" t="str">
        <v>BATCH-0001</v>
      </c>
      <c r="O19" t="str">
        <v/>
      </c>
      <c r="P19" t="str">
        <v>p-0006</v>
      </c>
      <c r="Q19" t="str">
        <v>farid haddad</v>
      </c>
      <c r="R19">
        <v>1</v>
      </c>
      <c r="S19" t="str">
        <v>synced</v>
      </c>
      <c r="T19" t="str">
        <v>2026-03-01T08:00:00Z</v>
      </c>
      <c r="U19" t="str">
        <v>fixture</v>
      </c>
      <c r="V19" t="str">
        <v/>
      </c>
      <c r="W19" t="str">
        <v>FALSE</v>
      </c>
      <c r="X19" t="str">
        <v>MF-SRC-SCHEDULEHUB-V3</v>
      </c>
      <c r="Y19">
        <v>2</v>
      </c>
    </row>
    <row r="20">
      <c r="A20" t="str">
        <v>SE-2026-04-05-P-0001</v>
      </c>
      <c r="B20" t="str">
        <v>P-0001</v>
      </c>
      <c r="C20" t="str">
        <v>Amara Okafor</v>
      </c>
      <c r="D20" t="str">
        <v>Early</v>
      </c>
      <c r="E20" t="str">
        <v>Operations</v>
      </c>
      <c r="F20" t="str">
        <v>2026-04-05</v>
      </c>
      <c r="G20" t="str">
        <v>Sun</v>
      </c>
      <c r="H20" t="str">
        <v>07:00</v>
      </c>
      <c r="I20" t="str">
        <v>15:00</v>
      </c>
      <c r="J20" t="str">
        <v/>
      </c>
      <c r="K20" t="str">
        <v/>
      </c>
      <c r="L20" t="str">
        <v>FALSE</v>
      </c>
      <c r="M20" t="str">
        <v>schedulehub_v3</v>
      </c>
      <c r="N20" t="str">
        <v>BATCH-0001</v>
      </c>
      <c r="O20" t="str">
        <v/>
      </c>
      <c r="P20" t="str">
        <v>p-0001</v>
      </c>
      <c r="Q20" t="str">
        <v>amara okafor</v>
      </c>
      <c r="R20">
        <v>1</v>
      </c>
      <c r="S20" t="str">
        <v>synced</v>
      </c>
      <c r="T20" t="str">
        <v>2026-03-01T08:00:00Z</v>
      </c>
      <c r="U20" t="str">
        <v>fixture</v>
      </c>
      <c r="V20" t="str">
        <v/>
      </c>
      <c r="W20" t="str">
        <v>FALSE</v>
      </c>
      <c r="X20" t="str">
        <v>MF-SRC-SCHEDULEHUB-V3</v>
      </c>
      <c r="Y20">
        <v>2</v>
      </c>
    </row>
    <row r="21">
      <c r="A21" t="str">
        <v>SE-2026-04-05-P-0002</v>
      </c>
      <c r="B21" t="str">
        <v>P-0002</v>
      </c>
      <c r="C21" t="str">
        <v>Ben Sorensen</v>
      </c>
      <c r="D21" t="str">
        <v>Early</v>
      </c>
      <c r="E21" t="str">
        <v>Operations</v>
      </c>
      <c r="F21" t="str">
        <v>2026-04-05</v>
      </c>
      <c r="G21" t="str">
        <v>Sun</v>
      </c>
      <c r="H21" t="str">
        <v/>
      </c>
      <c r="I21" t="str">
        <v/>
      </c>
      <c r="J21" t="str">
        <v/>
      </c>
      <c r="K21" t="str">
        <v/>
      </c>
      <c r="L21" t="str">
        <v>TRUE</v>
      </c>
      <c r="M21" t="str">
        <v>schedulehub_v3</v>
      </c>
      <c r="N21" t="str">
        <v>BATCH-0001</v>
      </c>
      <c r="O21" t="str">
        <v/>
      </c>
      <c r="P21" t="str">
        <v>p-0002</v>
      </c>
      <c r="Q21" t="str">
        <v>ben sorensen</v>
      </c>
      <c r="R21">
        <v>1</v>
      </c>
      <c r="S21" t="str">
        <v>synced</v>
      </c>
      <c r="T21" t="str">
        <v>2026-03-01T08:00:00Z</v>
      </c>
      <c r="U21" t="str">
        <v>fixture</v>
      </c>
      <c r="V21" t="str">
        <v/>
      </c>
      <c r="W21" t="str">
        <v>FALSE</v>
      </c>
      <c r="X21" t="str">
        <v>MF-SRC-SCHEDULEHUB-V3</v>
      </c>
      <c r="Y21">
        <v>2</v>
      </c>
    </row>
    <row r="22">
      <c r="A22" t="str">
        <v>SE-2026-04-05-P-0003</v>
      </c>
      <c r="B22" t="str">
        <v>P-0003</v>
      </c>
      <c r="C22" t="str">
        <v>Chloe Duarte</v>
      </c>
      <c r="D22" t="str">
        <v>Early</v>
      </c>
      <c r="E22" t="str">
        <v>Operations</v>
      </c>
      <c r="F22" t="str">
        <v>2026-04-05</v>
      </c>
      <c r="G22" t="str">
        <v>Sun</v>
      </c>
      <c r="H22" t="str">
        <v>07:00</v>
      </c>
      <c r="I22" t="str">
        <v>15:00</v>
      </c>
      <c r="J22" t="str">
        <v/>
      </c>
      <c r="K22" t="str">
        <v/>
      </c>
      <c r="L22" t="str">
        <v>FALSE</v>
      </c>
      <c r="M22" t="str">
        <v>schedulehub_v3</v>
      </c>
      <c r="N22" t="str">
        <v>BATCH-0001</v>
      </c>
      <c r="O22" t="str">
        <v/>
      </c>
      <c r="P22" t="str">
        <v>p-0003</v>
      </c>
      <c r="Q22" t="str">
        <v>chloe duarte</v>
      </c>
      <c r="R22">
        <v>1</v>
      </c>
      <c r="S22" t="str">
        <v>synced</v>
      </c>
      <c r="T22" t="str">
        <v>2026-03-01T08:00:00Z</v>
      </c>
      <c r="U22" t="str">
        <v>fixture</v>
      </c>
      <c r="V22" t="str">
        <v/>
      </c>
      <c r="W22" t="str">
        <v>FALSE</v>
      </c>
      <c r="X22" t="str">
        <v>MF-SRC-SCHEDULEHUB-V3</v>
      </c>
      <c r="Y22">
        <v>2</v>
      </c>
    </row>
    <row r="23">
      <c r="A23" t="str">
        <v>SE-2026-04-05-P-0004</v>
      </c>
      <c r="B23" t="str">
        <v>P-0004</v>
      </c>
      <c r="C23" t="str">
        <v>Dmitri Volkov</v>
      </c>
      <c r="D23" t="str">
        <v>Late</v>
      </c>
      <c r="E23" t="str">
        <v>Operations</v>
      </c>
      <c r="F23" t="str">
        <v>2026-04-05</v>
      </c>
      <c r="G23" t="str">
        <v>Sun</v>
      </c>
      <c r="H23" t="str">
        <v>12:00</v>
      </c>
      <c r="I23" t="str">
        <v>20:00</v>
      </c>
      <c r="J23" t="str">
        <v/>
      </c>
      <c r="K23" t="str">
        <v/>
      </c>
      <c r="L23" t="str">
        <v>FALSE</v>
      </c>
      <c r="M23" t="str">
        <v>schedulehub_v3</v>
      </c>
      <c r="N23" t="str">
        <v>BATCH-0001</v>
      </c>
      <c r="O23" t="str">
        <v/>
      </c>
      <c r="P23" t="str">
        <v>p-0004</v>
      </c>
      <c r="Q23" t="str">
        <v>dmitri volkov</v>
      </c>
      <c r="R23">
        <v>1</v>
      </c>
      <c r="S23" t="str">
        <v>synced</v>
      </c>
      <c r="T23" t="str">
        <v>2026-03-01T08:00:00Z</v>
      </c>
      <c r="U23" t="str">
        <v>fixture</v>
      </c>
      <c r="V23" t="str">
        <v/>
      </c>
      <c r="W23" t="str">
        <v>FALSE</v>
      </c>
      <c r="X23" t="str">
        <v>MF-SRC-SCHEDULEHUB-V3</v>
      </c>
      <c r="Y23">
        <v>2</v>
      </c>
    </row>
    <row r="24">
      <c r="A24" t="str">
        <v>SE-2026-04-05-P-0005</v>
      </c>
      <c r="B24" t="str">
        <v>P-0005</v>
      </c>
      <c r="C24" t="str">
        <v>Esi Mensah</v>
      </c>
      <c r="D24" t="str">
        <v>Late</v>
      </c>
      <c r="E24" t="str">
        <v>Operations</v>
      </c>
      <c r="F24" t="str">
        <v>2026-04-05</v>
      </c>
      <c r="G24" t="str">
        <v>Sun</v>
      </c>
      <c r="H24" t="str">
        <v>12:00</v>
      </c>
      <c r="I24" t="str">
        <v>20:00</v>
      </c>
      <c r="J24" t="str">
        <v/>
      </c>
      <c r="K24" t="str">
        <v/>
      </c>
      <c r="L24" t="str">
        <v>FALSE</v>
      </c>
      <c r="M24" t="str">
        <v>schedulehub_v3</v>
      </c>
      <c r="N24" t="str">
        <v>BATCH-0001</v>
      </c>
      <c r="O24" t="str">
        <v/>
      </c>
      <c r="P24" t="str">
        <v>p-0005</v>
      </c>
      <c r="Q24" t="str">
        <v>esi mensah</v>
      </c>
      <c r="R24">
        <v>1</v>
      </c>
      <c r="S24" t="str">
        <v>synced</v>
      </c>
      <c r="T24" t="str">
        <v>2026-03-01T08:00:00Z</v>
      </c>
      <c r="U24" t="str">
        <v>fixture</v>
      </c>
      <c r="V24" t="str">
        <v/>
      </c>
      <c r="W24" t="str">
        <v>FALSE</v>
      </c>
      <c r="X24" t="str">
        <v>MF-SRC-SCHEDULEHUB-V3</v>
      </c>
      <c r="Y24">
        <v>2</v>
      </c>
    </row>
    <row r="25">
      <c r="A25" t="str">
        <v>SE-2026-04-05-P-0006</v>
      </c>
      <c r="B25" t="str">
        <v>P-0006</v>
      </c>
      <c r="C25" t="str">
        <v>Farid Haddad</v>
      </c>
      <c r="D25" t="str">
        <v>Late</v>
      </c>
      <c r="E25" t="str">
        <v>Operations</v>
      </c>
      <c r="F25" t="str">
        <v>2026-04-05</v>
      </c>
      <c r="G25" t="str">
        <v>Sun</v>
      </c>
      <c r="H25" t="str">
        <v/>
      </c>
      <c r="I25" t="str">
        <v/>
      </c>
      <c r="J25" t="str">
        <v/>
      </c>
      <c r="K25" t="str">
        <v/>
      </c>
      <c r="L25" t="str">
        <v>TRUE</v>
      </c>
      <c r="M25" t="str">
        <v>schedulehub_v3</v>
      </c>
      <c r="N25" t="str">
        <v>BATCH-0001</v>
      </c>
      <c r="O25" t="str">
        <v/>
      </c>
      <c r="P25" t="str">
        <v>p-0006</v>
      </c>
      <c r="Q25" t="str">
        <v>farid haddad</v>
      </c>
      <c r="R25">
        <v>1</v>
      </c>
      <c r="S25" t="str">
        <v>synced</v>
      </c>
      <c r="T25" t="str">
        <v>2026-03-01T08:00:00Z</v>
      </c>
      <c r="U25" t="str">
        <v>fixture</v>
      </c>
      <c r="V25" t="str">
        <v/>
      </c>
      <c r="W25" t="str">
        <v>FALSE</v>
      </c>
      <c r="X25" t="str">
        <v>MF-SRC-SCHEDULEHUB-V3</v>
      </c>
      <c r="Y25">
        <v>2</v>
      </c>
    </row>
    <row r="26">
      <c r="A26" t="str">
        <v>SE-2026-04-06-P-0001</v>
      </c>
      <c r="B26" t="str">
        <v>P-0001</v>
      </c>
      <c r="C26" t="str">
        <v>Amara Okafor</v>
      </c>
      <c r="D26" t="str">
        <v>Early</v>
      </c>
      <c r="E26" t="str">
        <v>Operations</v>
      </c>
      <c r="F26" t="str">
        <v>2026-04-06</v>
      </c>
      <c r="G26" t="str">
        <v>Mon</v>
      </c>
      <c r="H26" t="str">
        <v>07:00</v>
      </c>
      <c r="I26" t="str">
        <v>15:00</v>
      </c>
      <c r="J26" t="str">
        <v/>
      </c>
      <c r="K26" t="str">
        <v/>
      </c>
      <c r="L26" t="str">
        <v>FALSE</v>
      </c>
      <c r="M26" t="str">
        <v>schedulehub_v3</v>
      </c>
      <c r="N26" t="str">
        <v>BATCH-0001</v>
      </c>
      <c r="O26" t="str">
        <v/>
      </c>
      <c r="P26" t="str">
        <v>p-0001</v>
      </c>
      <c r="Q26" t="str">
        <v>amara okafor</v>
      </c>
      <c r="R26">
        <v>1</v>
      </c>
      <c r="S26" t="str">
        <v>synced</v>
      </c>
      <c r="T26" t="str">
        <v>2026-03-01T08:00:00Z</v>
      </c>
      <c r="U26" t="str">
        <v>fixture</v>
      </c>
      <c r="V26" t="str">
        <v/>
      </c>
      <c r="W26" t="str">
        <v>FALSE</v>
      </c>
      <c r="X26" t="str">
        <v>MF-SRC-SCHEDULEHUB-V3</v>
      </c>
      <c r="Y26">
        <v>2</v>
      </c>
    </row>
    <row r="27">
      <c r="A27" t="str">
        <v>SE-2026-04-06-P-0002</v>
      </c>
      <c r="B27" t="str">
        <v>P-0002</v>
      </c>
      <c r="C27" t="str">
        <v>Ben Sorensen</v>
      </c>
      <c r="D27" t="str">
        <v>Early</v>
      </c>
      <c r="E27" t="str">
        <v>Operations</v>
      </c>
      <c r="F27" t="str">
        <v>2026-04-06</v>
      </c>
      <c r="G27" t="str">
        <v>Mon</v>
      </c>
      <c r="H27" t="str">
        <v/>
      </c>
      <c r="I27" t="str">
        <v/>
      </c>
      <c r="J27" t="str">
        <v/>
      </c>
      <c r="K27" t="str">
        <v/>
      </c>
      <c r="L27" t="str">
        <v>TRUE</v>
      </c>
      <c r="M27" t="str">
        <v>schedulehub_v3</v>
      </c>
      <c r="N27" t="str">
        <v>BATCH-0001</v>
      </c>
      <c r="O27" t="str">
        <v/>
      </c>
      <c r="P27" t="str">
        <v>p-0002</v>
      </c>
      <c r="Q27" t="str">
        <v>ben sorensen</v>
      </c>
      <c r="R27">
        <v>1</v>
      </c>
      <c r="S27" t="str">
        <v>synced</v>
      </c>
      <c r="T27" t="str">
        <v>2026-03-01T08:00:00Z</v>
      </c>
      <c r="U27" t="str">
        <v>fixture</v>
      </c>
      <c r="V27" t="str">
        <v/>
      </c>
      <c r="W27" t="str">
        <v>FALSE</v>
      </c>
      <c r="X27" t="str">
        <v>MF-SRC-SCHEDULEHUB-V3</v>
      </c>
      <c r="Y27">
        <v>2</v>
      </c>
    </row>
    <row r="28">
      <c r="A28" t="str">
        <v>SE-2026-04-06-P-0003</v>
      </c>
      <c r="B28" t="str">
        <v>P-0003</v>
      </c>
      <c r="C28" t="str">
        <v>Chloe Duarte</v>
      </c>
      <c r="D28" t="str">
        <v>Early</v>
      </c>
      <c r="E28" t="str">
        <v>Operations</v>
      </c>
      <c r="F28" t="str">
        <v>2026-04-06</v>
      </c>
      <c r="G28" t="str">
        <v>Mon</v>
      </c>
      <c r="H28" t="str">
        <v>07:00</v>
      </c>
      <c r="I28" t="str">
        <v>15:00</v>
      </c>
      <c r="J28" t="str">
        <v/>
      </c>
      <c r="K28" t="str">
        <v/>
      </c>
      <c r="L28" t="str">
        <v>FALSE</v>
      </c>
      <c r="M28" t="str">
        <v>schedulehub_v3</v>
      </c>
      <c r="N28" t="str">
        <v>BATCH-0001</v>
      </c>
      <c r="O28" t="str">
        <v/>
      </c>
      <c r="P28" t="str">
        <v>p-0003</v>
      </c>
      <c r="Q28" t="str">
        <v>chloe duarte</v>
      </c>
      <c r="R28">
        <v>1</v>
      </c>
      <c r="S28" t="str">
        <v>synced</v>
      </c>
      <c r="T28" t="str">
        <v>2026-03-01T08:00:00Z</v>
      </c>
      <c r="U28" t="str">
        <v>fixture</v>
      </c>
      <c r="V28" t="str">
        <v/>
      </c>
      <c r="W28" t="str">
        <v>FALSE</v>
      </c>
      <c r="X28" t="str">
        <v>MF-SRC-SCHEDULEHUB-V3</v>
      </c>
      <c r="Y28">
        <v>2</v>
      </c>
    </row>
    <row r="29">
      <c r="A29" t="str">
        <v>SE-2026-04-06-P-0004</v>
      </c>
      <c r="B29" t="str">
        <v>P-0004</v>
      </c>
      <c r="C29" t="str">
        <v>Dmitri Volkov</v>
      </c>
      <c r="D29" t="str">
        <v>Late</v>
      </c>
      <c r="E29" t="str">
        <v>Operations</v>
      </c>
      <c r="F29" t="str">
        <v>2026-04-06</v>
      </c>
      <c r="G29" t="str">
        <v>Mon</v>
      </c>
      <c r="H29" t="str">
        <v>12:00</v>
      </c>
      <c r="I29" t="str">
        <v>20:00</v>
      </c>
      <c r="J29" t="str">
        <v/>
      </c>
      <c r="K29" t="str">
        <v/>
      </c>
      <c r="L29" t="str">
        <v>FALSE</v>
      </c>
      <c r="M29" t="str">
        <v>schedulehub_v3</v>
      </c>
      <c r="N29" t="str">
        <v>BATCH-0001</v>
      </c>
      <c r="O29" t="str">
        <v/>
      </c>
      <c r="P29" t="str">
        <v>p-0004</v>
      </c>
      <c r="Q29" t="str">
        <v>dmitri volkov</v>
      </c>
      <c r="R29">
        <v>1</v>
      </c>
      <c r="S29" t="str">
        <v>synced</v>
      </c>
      <c r="T29" t="str">
        <v>2026-03-01T08:00:00Z</v>
      </c>
      <c r="U29" t="str">
        <v>fixture</v>
      </c>
      <c r="V29" t="str">
        <v/>
      </c>
      <c r="W29" t="str">
        <v>FALSE</v>
      </c>
      <c r="X29" t="str">
        <v>MF-SRC-SCHEDULEHUB-V3</v>
      </c>
      <c r="Y29">
        <v>2</v>
      </c>
    </row>
    <row r="30">
      <c r="A30" t="str">
        <v>SE-2026-04-06-P-0005</v>
      </c>
      <c r="B30" t="str">
        <v>P-0005</v>
      </c>
      <c r="C30" t="str">
        <v>Esi Mensah</v>
      </c>
      <c r="D30" t="str">
        <v>Late</v>
      </c>
      <c r="E30" t="str">
        <v>Operations</v>
      </c>
      <c r="F30" t="str">
        <v>2026-04-06</v>
      </c>
      <c r="G30" t="str">
        <v>Mon</v>
      </c>
      <c r="H30" t="str">
        <v/>
      </c>
      <c r="I30" t="str">
        <v/>
      </c>
      <c r="J30" t="str">
        <v/>
      </c>
      <c r="K30" t="str">
        <v/>
      </c>
      <c r="L30" t="str">
        <v>TRUE</v>
      </c>
      <c r="M30" t="str">
        <v>schedulehub_v3</v>
      </c>
      <c r="N30" t="str">
        <v>BATCH-0001</v>
      </c>
      <c r="O30" t="str">
        <v/>
      </c>
      <c r="P30" t="str">
        <v>p-0005</v>
      </c>
      <c r="Q30" t="str">
        <v>esi mensah</v>
      </c>
      <c r="R30">
        <v>1</v>
      </c>
      <c r="S30" t="str">
        <v>synced</v>
      </c>
      <c r="T30" t="str">
        <v>2026-03-01T08:00:00Z</v>
      </c>
      <c r="U30" t="str">
        <v>fixture</v>
      </c>
      <c r="V30" t="str">
        <v/>
      </c>
      <c r="W30" t="str">
        <v>FALSE</v>
      </c>
      <c r="X30" t="str">
        <v>MF-SRC-SCHEDULEHUB-V3</v>
      </c>
      <c r="Y30">
        <v>2</v>
      </c>
    </row>
    <row r="31">
      <c r="A31" t="str">
        <v>SE-2026-04-06-P-0006</v>
      </c>
      <c r="B31" t="str">
        <v>P-0006</v>
      </c>
      <c r="C31" t="str">
        <v>Farid Haddad</v>
      </c>
      <c r="D31" t="str">
        <v>Late</v>
      </c>
      <c r="E31" t="str">
        <v>Operations</v>
      </c>
      <c r="F31" t="str">
        <v>2026-04-06</v>
      </c>
      <c r="G31" t="str">
        <v>Mon</v>
      </c>
      <c r="H31" t="str">
        <v>12:00</v>
      </c>
      <c r="I31" t="str">
        <v>20:00</v>
      </c>
      <c r="J31" t="str">
        <v/>
      </c>
      <c r="K31" t="str">
        <v/>
      </c>
      <c r="L31" t="str">
        <v>FALSE</v>
      </c>
      <c r="M31" t="str">
        <v>schedulehub_v3</v>
      </c>
      <c r="N31" t="str">
        <v>BATCH-0001</v>
      </c>
      <c r="O31" t="str">
        <v/>
      </c>
      <c r="P31" t="str">
        <v>p-0006</v>
      </c>
      <c r="Q31" t="str">
        <v>farid haddad</v>
      </c>
      <c r="R31">
        <v>1</v>
      </c>
      <c r="S31" t="str">
        <v>synced</v>
      </c>
      <c r="T31" t="str">
        <v>2026-03-01T08:00:00Z</v>
      </c>
      <c r="U31" t="str">
        <v>fixture</v>
      </c>
      <c r="V31" t="str">
        <v/>
      </c>
      <c r="W31" t="str">
        <v>FALSE</v>
      </c>
      <c r="X31" t="str">
        <v>MF-SRC-SCHEDULEHUB-V3</v>
      </c>
      <c r="Y31">
        <v>2</v>
      </c>
    </row>
    <row r="32">
      <c r="A32" t="str">
        <v>SE-2026-04-07-P-0001</v>
      </c>
      <c r="B32" t="str">
        <v>P-0001</v>
      </c>
      <c r="C32" t="str">
        <v>Amara Okafor</v>
      </c>
      <c r="D32" t="str">
        <v>Early</v>
      </c>
      <c r="E32" t="str">
        <v>Operations</v>
      </c>
      <c r="F32" t="str">
        <v>2026-04-07</v>
      </c>
      <c r="G32" t="str">
        <v>Tue</v>
      </c>
      <c r="H32" t="str">
        <v/>
      </c>
      <c r="I32" t="str">
        <v/>
      </c>
      <c r="J32" t="str">
        <v/>
      </c>
      <c r="K32" t="str">
        <v/>
      </c>
      <c r="L32" t="str">
        <v>TRUE</v>
      </c>
      <c r="M32" t="str">
        <v>schedulehub_v3</v>
      </c>
      <c r="N32" t="str">
        <v>BATCH-0001</v>
      </c>
      <c r="O32" t="str">
        <v/>
      </c>
      <c r="P32" t="str">
        <v>p-0001</v>
      </c>
      <c r="Q32" t="str">
        <v>amara okafor</v>
      </c>
      <c r="R32">
        <v>1</v>
      </c>
      <c r="S32" t="str">
        <v>synced</v>
      </c>
      <c r="T32" t="str">
        <v>2026-03-01T08:00:00Z</v>
      </c>
      <c r="U32" t="str">
        <v>fixture</v>
      </c>
      <c r="V32" t="str">
        <v/>
      </c>
      <c r="W32" t="str">
        <v>FALSE</v>
      </c>
      <c r="X32" t="str">
        <v>MF-SRC-SCHEDULEHUB-V3</v>
      </c>
      <c r="Y32">
        <v>2</v>
      </c>
    </row>
    <row r="33">
      <c r="A33" t="str">
        <v>SE-2026-04-07-P-0002</v>
      </c>
      <c r="B33" t="str">
        <v>P-0002</v>
      </c>
      <c r="C33" t="str">
        <v>Ben Sorensen</v>
      </c>
      <c r="D33" t="str">
        <v>Early</v>
      </c>
      <c r="E33" t="str">
        <v>Operations</v>
      </c>
      <c r="F33" t="str">
        <v>2026-04-07</v>
      </c>
      <c r="G33" t="str">
        <v>Tue</v>
      </c>
      <c r="H33" t="str">
        <v>07:00</v>
      </c>
      <c r="I33" t="str">
        <v>15:00</v>
      </c>
      <c r="J33" t="str">
        <v/>
      </c>
      <c r="K33" t="str">
        <v/>
      </c>
      <c r="L33" t="str">
        <v>FALSE</v>
      </c>
      <c r="M33" t="str">
        <v>schedulehub_v3</v>
      </c>
      <c r="N33" t="str">
        <v>BATCH-0001</v>
      </c>
      <c r="O33" t="str">
        <v/>
      </c>
      <c r="P33" t="str">
        <v>p-0002</v>
      </c>
      <c r="Q33" t="str">
        <v>ben sorensen</v>
      </c>
      <c r="R33">
        <v>1</v>
      </c>
      <c r="S33" t="str">
        <v>synced</v>
      </c>
      <c r="T33" t="str">
        <v>2026-03-01T08:00:00Z</v>
      </c>
      <c r="U33" t="str">
        <v>fixture</v>
      </c>
      <c r="V33" t="str">
        <v/>
      </c>
      <c r="W33" t="str">
        <v>FALSE</v>
      </c>
      <c r="X33" t="str">
        <v>MF-SRC-SCHEDULEHUB-V3</v>
      </c>
      <c r="Y33">
        <v>2</v>
      </c>
    </row>
    <row r="34">
      <c r="A34" t="str">
        <v>SE-2026-04-07-P-0003</v>
      </c>
      <c r="B34" t="str">
        <v>P-0003</v>
      </c>
      <c r="C34" t="str">
        <v>Chloe Duarte</v>
      </c>
      <c r="D34" t="str">
        <v>Early</v>
      </c>
      <c r="E34" t="str">
        <v>Operations</v>
      </c>
      <c r="F34" t="str">
        <v>2026-04-07</v>
      </c>
      <c r="G34" t="str">
        <v>Tue</v>
      </c>
      <c r="H34" t="str">
        <v>07:00</v>
      </c>
      <c r="I34" t="str">
        <v>15:00</v>
      </c>
      <c r="J34" t="str">
        <v/>
      </c>
      <c r="K34" t="str">
        <v/>
      </c>
      <c r="L34" t="str">
        <v>FALSE</v>
      </c>
      <c r="M34" t="str">
        <v>schedulehub_v3</v>
      </c>
      <c r="N34" t="str">
        <v>BATCH-0001</v>
      </c>
      <c r="O34" t="str">
        <v/>
      </c>
      <c r="P34" t="str">
        <v>p-0003</v>
      </c>
      <c r="Q34" t="str">
        <v>chloe duarte</v>
      </c>
      <c r="R34">
        <v>1</v>
      </c>
      <c r="S34" t="str">
        <v>synced</v>
      </c>
      <c r="T34" t="str">
        <v>2026-03-01T08:00:00Z</v>
      </c>
      <c r="U34" t="str">
        <v>fixture</v>
      </c>
      <c r="V34" t="str">
        <v/>
      </c>
      <c r="W34" t="str">
        <v>FALSE</v>
      </c>
      <c r="X34" t="str">
        <v>MF-SRC-SCHEDULEHUB-V3</v>
      </c>
      <c r="Y34">
        <v>2</v>
      </c>
    </row>
    <row r="35">
      <c r="A35" t="str">
        <v>SE-2026-04-07-P-0004</v>
      </c>
      <c r="B35" t="str">
        <v>P-0004</v>
      </c>
      <c r="C35" t="str">
        <v>Dmitri Volkov</v>
      </c>
      <c r="D35" t="str">
        <v>Late</v>
      </c>
      <c r="E35" t="str">
        <v>Operations</v>
      </c>
      <c r="F35" t="str">
        <v>2026-04-07</v>
      </c>
      <c r="G35" t="str">
        <v>Tue</v>
      </c>
      <c r="H35" t="str">
        <v>12:00</v>
      </c>
      <c r="I35" t="str">
        <v>20:00</v>
      </c>
      <c r="J35" t="str">
        <v/>
      </c>
      <c r="K35" t="str">
        <v/>
      </c>
      <c r="L35" t="str">
        <v>FALSE</v>
      </c>
      <c r="M35" t="str">
        <v>schedulehub_v3</v>
      </c>
      <c r="N35" t="str">
        <v>BATCH-0001</v>
      </c>
      <c r="O35" t="str">
        <v/>
      </c>
      <c r="P35" t="str">
        <v>p-0004</v>
      </c>
      <c r="Q35" t="str">
        <v>dmitri volkov</v>
      </c>
      <c r="R35">
        <v>1</v>
      </c>
      <c r="S35" t="str">
        <v>synced</v>
      </c>
      <c r="T35" t="str">
        <v>2026-03-01T08:00:00Z</v>
      </c>
      <c r="U35" t="str">
        <v>fixture</v>
      </c>
      <c r="V35" t="str">
        <v/>
      </c>
      <c r="W35" t="str">
        <v>FALSE</v>
      </c>
      <c r="X35" t="str">
        <v>MF-SRC-SCHEDULEHUB-V3</v>
      </c>
      <c r="Y35">
        <v>2</v>
      </c>
    </row>
    <row r="36">
      <c r="A36" t="str">
        <v>SE-2026-04-07-P-0005</v>
      </c>
      <c r="B36" t="str">
        <v>P-0005</v>
      </c>
      <c r="C36" t="str">
        <v>Esi Mensah</v>
      </c>
      <c r="D36" t="str">
        <v>Late</v>
      </c>
      <c r="E36" t="str">
        <v>Operations</v>
      </c>
      <c r="F36" t="str">
        <v>2026-04-07</v>
      </c>
      <c r="G36" t="str">
        <v>Tue</v>
      </c>
      <c r="H36" t="str">
        <v/>
      </c>
      <c r="I36" t="str">
        <v/>
      </c>
      <c r="J36" t="str">
        <v/>
      </c>
      <c r="K36" t="str">
        <v/>
      </c>
      <c r="L36" t="str">
        <v>TRUE</v>
      </c>
      <c r="M36" t="str">
        <v>schedulehub_v3</v>
      </c>
      <c r="N36" t="str">
        <v>BATCH-0001</v>
      </c>
      <c r="O36" t="str">
        <v/>
      </c>
      <c r="P36" t="str">
        <v>p-0005</v>
      </c>
      <c r="Q36" t="str">
        <v>esi mensah</v>
      </c>
      <c r="R36">
        <v>1</v>
      </c>
      <c r="S36" t="str">
        <v>synced</v>
      </c>
      <c r="T36" t="str">
        <v>2026-03-01T08:00:00Z</v>
      </c>
      <c r="U36" t="str">
        <v>fixture</v>
      </c>
      <c r="V36" t="str">
        <v/>
      </c>
      <c r="W36" t="str">
        <v>FALSE</v>
      </c>
      <c r="X36" t="str">
        <v>MF-SRC-SCHEDULEHUB-V3</v>
      </c>
      <c r="Y36">
        <v>2</v>
      </c>
    </row>
    <row r="37">
      <c r="A37" t="str">
        <v>SE-2026-04-07-P-0006</v>
      </c>
      <c r="B37" t="str">
        <v>P-0006</v>
      </c>
      <c r="C37" t="str">
        <v>Farid Haddad</v>
      </c>
      <c r="D37" t="str">
        <v>Late</v>
      </c>
      <c r="E37" t="str">
        <v>Operations</v>
      </c>
      <c r="F37" t="str">
        <v>2026-04-07</v>
      </c>
      <c r="G37" t="str">
        <v>Tue</v>
      </c>
      <c r="H37" t="str">
        <v>12:00</v>
      </c>
      <c r="I37" t="str">
        <v>20:00</v>
      </c>
      <c r="J37" t="str">
        <v/>
      </c>
      <c r="K37" t="str">
        <v/>
      </c>
      <c r="L37" t="str">
        <v>FALSE</v>
      </c>
      <c r="M37" t="str">
        <v>schedulehub_v3</v>
      </c>
      <c r="N37" t="str">
        <v>BATCH-0001</v>
      </c>
      <c r="O37" t="str">
        <v/>
      </c>
      <c r="P37" t="str">
        <v>p-0006</v>
      </c>
      <c r="Q37" t="str">
        <v>farid haddad</v>
      </c>
      <c r="R37">
        <v>1</v>
      </c>
      <c r="S37" t="str">
        <v>synced</v>
      </c>
      <c r="T37" t="str">
        <v>2026-03-01T08:00:00Z</v>
      </c>
      <c r="U37" t="str">
        <v>fixture</v>
      </c>
      <c r="V37" t="str">
        <v/>
      </c>
      <c r="W37" t="str">
        <v>FALSE</v>
      </c>
      <c r="X37" t="str">
        <v>MF-SRC-SCHEDULEHUB-V3</v>
      </c>
      <c r="Y37">
        <v>2</v>
      </c>
    </row>
    <row r="38">
      <c r="A38" t="str">
        <v>SE-2026-04-08-P-0001</v>
      </c>
      <c r="B38" t="str">
        <v>P-0001</v>
      </c>
      <c r="C38" t="str">
        <v>Amara Okafor</v>
      </c>
      <c r="D38" t="str">
        <v>Early</v>
      </c>
      <c r="E38" t="str">
        <v>Operations</v>
      </c>
      <c r="F38" t="str">
        <v>2026-04-08</v>
      </c>
      <c r="G38" t="str">
        <v>Wed</v>
      </c>
      <c r="H38" t="str">
        <v/>
      </c>
      <c r="I38" t="str">
        <v/>
      </c>
      <c r="J38" t="str">
        <v/>
      </c>
      <c r="K38" t="str">
        <v/>
      </c>
      <c r="L38" t="str">
        <v>TRUE</v>
      </c>
      <c r="M38" t="str">
        <v>schedulehub_v3</v>
      </c>
      <c r="N38" t="str">
        <v>BATCH-0001</v>
      </c>
      <c r="O38" t="str">
        <v/>
      </c>
      <c r="P38" t="str">
        <v>p-0001</v>
      </c>
      <c r="Q38" t="str">
        <v>amara okafor</v>
      </c>
      <c r="R38">
        <v>1</v>
      </c>
      <c r="S38" t="str">
        <v>synced</v>
      </c>
      <c r="T38" t="str">
        <v>2026-03-01T08:00:00Z</v>
      </c>
      <c r="U38" t="str">
        <v>fixture</v>
      </c>
      <c r="V38" t="str">
        <v/>
      </c>
      <c r="W38" t="str">
        <v>FALSE</v>
      </c>
      <c r="X38" t="str">
        <v>MF-SRC-SCHEDULEHUB-V3</v>
      </c>
      <c r="Y38">
        <v>2</v>
      </c>
    </row>
    <row r="39">
      <c r="A39" t="str">
        <v>SE-2026-04-08-P-0002</v>
      </c>
      <c r="B39" t="str">
        <v>P-0002</v>
      </c>
      <c r="C39" t="str">
        <v>Ben Sorensen</v>
      </c>
      <c r="D39" t="str">
        <v>Early</v>
      </c>
      <c r="E39" t="str">
        <v>Operations</v>
      </c>
      <c r="F39" t="str">
        <v>2026-04-08</v>
      </c>
      <c r="G39" t="str">
        <v>Wed</v>
      </c>
      <c r="H39" t="str">
        <v>07:00</v>
      </c>
      <c r="I39" t="str">
        <v>15:00</v>
      </c>
      <c r="J39" t="str">
        <v/>
      </c>
      <c r="K39" t="str">
        <v/>
      </c>
      <c r="L39" t="str">
        <v>FALSE</v>
      </c>
      <c r="M39" t="str">
        <v>schedulehub_v3</v>
      </c>
      <c r="N39" t="str">
        <v>BATCH-0001</v>
      </c>
      <c r="O39" t="str">
        <v/>
      </c>
      <c r="P39" t="str">
        <v>p-0002</v>
      </c>
      <c r="Q39" t="str">
        <v>ben sorensen</v>
      </c>
      <c r="R39">
        <v>1</v>
      </c>
      <c r="S39" t="str">
        <v>synced</v>
      </c>
      <c r="T39" t="str">
        <v>2026-03-01T08:00:00Z</v>
      </c>
      <c r="U39" t="str">
        <v>fixture</v>
      </c>
      <c r="V39" t="str">
        <v/>
      </c>
      <c r="W39" t="str">
        <v>FALSE</v>
      </c>
      <c r="X39" t="str">
        <v>MF-SRC-SCHEDULEHUB-V3</v>
      </c>
      <c r="Y39">
        <v>2</v>
      </c>
    </row>
    <row r="40">
      <c r="A40" t="str">
        <v>SE-2026-04-08-P-0003</v>
      </c>
      <c r="B40" t="str">
        <v>P-0003</v>
      </c>
      <c r="C40" t="str">
        <v>Chloe Duarte</v>
      </c>
      <c r="D40" t="str">
        <v>Early</v>
      </c>
      <c r="E40" t="str">
        <v>Operations</v>
      </c>
      <c r="F40" t="str">
        <v>2026-04-08</v>
      </c>
      <c r="G40" t="str">
        <v>Wed</v>
      </c>
      <c r="H40" t="str">
        <v>07:00</v>
      </c>
      <c r="I40" t="str">
        <v>15:00</v>
      </c>
      <c r="J40" t="str">
        <v/>
      </c>
      <c r="K40" t="str">
        <v/>
      </c>
      <c r="L40" t="str">
        <v>FALSE</v>
      </c>
      <c r="M40" t="str">
        <v>schedulehub_v3</v>
      </c>
      <c r="N40" t="str">
        <v>BATCH-0001</v>
      </c>
      <c r="O40" t="str">
        <v/>
      </c>
      <c r="P40" t="str">
        <v>p-0003</v>
      </c>
      <c r="Q40" t="str">
        <v>chloe duarte</v>
      </c>
      <c r="R40">
        <v>1</v>
      </c>
      <c r="S40" t="str">
        <v>synced</v>
      </c>
      <c r="T40" t="str">
        <v>2026-03-01T08:00:00Z</v>
      </c>
      <c r="U40" t="str">
        <v>fixture</v>
      </c>
      <c r="V40" t="str">
        <v/>
      </c>
      <c r="W40" t="str">
        <v>FALSE</v>
      </c>
      <c r="X40" t="str">
        <v>MF-SRC-SCHEDULEHUB-V3</v>
      </c>
      <c r="Y40">
        <v>2</v>
      </c>
    </row>
    <row r="41">
      <c r="A41" t="str">
        <v>SE-2026-04-08-P-0004</v>
      </c>
      <c r="B41" t="str">
        <v>P-0004</v>
      </c>
      <c r="C41" t="str">
        <v>Dmitri Volkov</v>
      </c>
      <c r="D41" t="str">
        <v>Late</v>
      </c>
      <c r="E41" t="str">
        <v>Operations</v>
      </c>
      <c r="F41" t="str">
        <v>2026-04-08</v>
      </c>
      <c r="G41" t="str">
        <v>Wed</v>
      </c>
      <c r="H41" t="str">
        <v/>
      </c>
      <c r="I41" t="str">
        <v/>
      </c>
      <c r="J41" t="str">
        <v/>
      </c>
      <c r="K41" t="str">
        <v/>
      </c>
      <c r="L41" t="str">
        <v>TRUE</v>
      </c>
      <c r="M41" t="str">
        <v>schedulehub_v3</v>
      </c>
      <c r="N41" t="str">
        <v>BATCH-0001</v>
      </c>
      <c r="O41" t="str">
        <v/>
      </c>
      <c r="P41" t="str">
        <v>p-0004</v>
      </c>
      <c r="Q41" t="str">
        <v>dmitri volkov</v>
      </c>
      <c r="R41">
        <v>1</v>
      </c>
      <c r="S41" t="str">
        <v>synced</v>
      </c>
      <c r="T41" t="str">
        <v>2026-03-01T08:00:00Z</v>
      </c>
      <c r="U41" t="str">
        <v>fixture</v>
      </c>
      <c r="V41" t="str">
        <v/>
      </c>
      <c r="W41" t="str">
        <v>FALSE</v>
      </c>
      <c r="X41" t="str">
        <v>MF-SRC-SCHEDULEHUB-V3</v>
      </c>
      <c r="Y41">
        <v>2</v>
      </c>
    </row>
    <row r="42">
      <c r="A42" t="str">
        <v>SE-2026-04-08-P-0005</v>
      </c>
      <c r="B42" t="str">
        <v>P-0005</v>
      </c>
      <c r="C42" t="str">
        <v>Esi Mensah</v>
      </c>
      <c r="D42" t="str">
        <v>Late</v>
      </c>
      <c r="E42" t="str">
        <v>Operations</v>
      </c>
      <c r="F42" t="str">
        <v>2026-04-08</v>
      </c>
      <c r="G42" t="str">
        <v>Wed</v>
      </c>
      <c r="H42" t="str">
        <v>12:00</v>
      </c>
      <c r="I42" t="str">
        <v>20:00</v>
      </c>
      <c r="J42" t="str">
        <v/>
      </c>
      <c r="K42" t="str">
        <v/>
      </c>
      <c r="L42" t="str">
        <v>FALSE</v>
      </c>
      <c r="M42" t="str">
        <v>schedulehub_v3</v>
      </c>
      <c r="N42" t="str">
        <v>BATCH-0001</v>
      </c>
      <c r="O42" t="str">
        <v/>
      </c>
      <c r="P42" t="str">
        <v>p-0005</v>
      </c>
      <c r="Q42" t="str">
        <v>esi mensah</v>
      </c>
      <c r="R42">
        <v>1</v>
      </c>
      <c r="S42" t="str">
        <v>synced</v>
      </c>
      <c r="T42" t="str">
        <v>2026-03-01T08:00:00Z</v>
      </c>
      <c r="U42" t="str">
        <v>fixture</v>
      </c>
      <c r="V42" t="str">
        <v/>
      </c>
      <c r="W42" t="str">
        <v>FALSE</v>
      </c>
      <c r="X42" t="str">
        <v>MF-SRC-SCHEDULEHUB-V3</v>
      </c>
      <c r="Y42">
        <v>2</v>
      </c>
    </row>
    <row r="43">
      <c r="A43" t="str">
        <v>SE-2026-04-08-P-0006</v>
      </c>
      <c r="B43" t="str">
        <v>P-0006</v>
      </c>
      <c r="C43" t="str">
        <v>Farid Haddad</v>
      </c>
      <c r="D43" t="str">
        <v>Late</v>
      </c>
      <c r="E43" t="str">
        <v>Operations</v>
      </c>
      <c r="F43" t="str">
        <v>2026-04-08</v>
      </c>
      <c r="G43" t="str">
        <v>Wed</v>
      </c>
      <c r="H43" t="str">
        <v>12:00</v>
      </c>
      <c r="I43" t="str">
        <v>20:00</v>
      </c>
      <c r="J43" t="str">
        <v/>
      </c>
      <c r="K43" t="str">
        <v/>
      </c>
      <c r="L43" t="str">
        <v>FALSE</v>
      </c>
      <c r="M43" t="str">
        <v>schedulehub_v3</v>
      </c>
      <c r="N43" t="str">
        <v>BATCH-0001</v>
      </c>
      <c r="O43" t="str">
        <v/>
      </c>
      <c r="P43" t="str">
        <v>p-0006</v>
      </c>
      <c r="Q43" t="str">
        <v>farid haddad</v>
      </c>
      <c r="R43">
        <v>1</v>
      </c>
      <c r="S43" t="str">
        <v>synced</v>
      </c>
      <c r="T43" t="str">
        <v>2026-03-01T08:00:00Z</v>
      </c>
      <c r="U43" t="str">
        <v>fixture</v>
      </c>
      <c r="V43" t="str">
        <v/>
      </c>
      <c r="W43" t="str">
        <v>FALSE</v>
      </c>
      <c r="X43" t="str">
        <v>MF-SRC-SCHEDULEHUB-V3</v>
      </c>
      <c r="Y43">
        <v>2</v>
      </c>
    </row>
    <row r="44">
      <c r="A44" t="str">
        <v>SE-2026-04-09-P-0001</v>
      </c>
      <c r="B44" t="str">
        <v>P-0001</v>
      </c>
      <c r="C44" t="str">
        <v>Amara Okafor</v>
      </c>
      <c r="D44" t="str">
        <v>Early</v>
      </c>
      <c r="E44" t="str">
        <v>Operations</v>
      </c>
      <c r="F44" t="str">
        <v>2026-04-09</v>
      </c>
      <c r="G44" t="str">
        <v>Thu</v>
      </c>
      <c r="H44" t="str">
        <v>07:00</v>
      </c>
      <c r="I44" t="str">
        <v>15:00</v>
      </c>
      <c r="J44" t="str">
        <v/>
      </c>
      <c r="K44" t="str">
        <v/>
      </c>
      <c r="L44" t="str">
        <v>FALSE</v>
      </c>
      <c r="M44" t="str">
        <v>schedulehub_v3</v>
      </c>
      <c r="N44" t="str">
        <v>BATCH-0001</v>
      </c>
      <c r="O44" t="str">
        <v/>
      </c>
      <c r="P44" t="str">
        <v>p-0001</v>
      </c>
      <c r="Q44" t="str">
        <v>amara okafor</v>
      </c>
      <c r="R44">
        <v>1</v>
      </c>
      <c r="S44" t="str">
        <v>synced</v>
      </c>
      <c r="T44" t="str">
        <v>2026-03-01T08:00:00Z</v>
      </c>
      <c r="U44" t="str">
        <v>fixture</v>
      </c>
      <c r="V44" t="str">
        <v/>
      </c>
      <c r="W44" t="str">
        <v>FALSE</v>
      </c>
      <c r="X44" t="str">
        <v>MF-SRC-SCHEDULEHUB-V3</v>
      </c>
      <c r="Y44">
        <v>2</v>
      </c>
    </row>
    <row r="45">
      <c r="A45" t="str">
        <v>SE-2026-04-09-P-0002</v>
      </c>
      <c r="B45" t="str">
        <v>P-0002</v>
      </c>
      <c r="C45" t="str">
        <v>Ben Sorensen</v>
      </c>
      <c r="D45" t="str">
        <v>Early</v>
      </c>
      <c r="E45" t="str">
        <v>Operations</v>
      </c>
      <c r="F45" t="str">
        <v>2026-04-09</v>
      </c>
      <c r="G45" t="str">
        <v>Thu</v>
      </c>
      <c r="H45" t="str">
        <v>07:00</v>
      </c>
      <c r="I45" t="str">
        <v>15:00</v>
      </c>
      <c r="J45" t="str">
        <v/>
      </c>
      <c r="K45" t="str">
        <v/>
      </c>
      <c r="L45" t="str">
        <v>FALSE</v>
      </c>
      <c r="M45" t="str">
        <v>schedulehub_v3</v>
      </c>
      <c r="N45" t="str">
        <v>BATCH-0001</v>
      </c>
      <c r="O45" t="str">
        <v/>
      </c>
      <c r="P45" t="str">
        <v>p-0002</v>
      </c>
      <c r="Q45" t="str">
        <v>ben sorensen</v>
      </c>
      <c r="R45">
        <v>1</v>
      </c>
      <c r="S45" t="str">
        <v>synced</v>
      </c>
      <c r="T45" t="str">
        <v>2026-03-01T08:00:00Z</v>
      </c>
      <c r="U45" t="str">
        <v>fixture</v>
      </c>
      <c r="V45" t="str">
        <v/>
      </c>
      <c r="W45" t="str">
        <v>FALSE</v>
      </c>
      <c r="X45" t="str">
        <v>MF-SRC-SCHEDULEHUB-V3</v>
      </c>
      <c r="Y45">
        <v>2</v>
      </c>
    </row>
    <row r="46">
      <c r="A46" t="str">
        <v>SE-2026-04-09-P-0003</v>
      </c>
      <c r="B46" t="str">
        <v>P-0003</v>
      </c>
      <c r="C46" t="str">
        <v>Chloe Duarte</v>
      </c>
      <c r="D46" t="str">
        <v>Early</v>
      </c>
      <c r="E46" t="str">
        <v>Operations</v>
      </c>
      <c r="F46" t="str">
        <v>2026-04-09</v>
      </c>
      <c r="G46" t="str">
        <v>Thu</v>
      </c>
      <c r="H46" t="str">
        <v>07:00</v>
      </c>
      <c r="I46" t="str">
        <v>15:00</v>
      </c>
      <c r="J46" t="str">
        <v/>
      </c>
      <c r="K46" t="str">
        <v/>
      </c>
      <c r="L46" t="str">
        <v>FALSE</v>
      </c>
      <c r="M46" t="str">
        <v>schedulehub_v3</v>
      </c>
      <c r="N46" t="str">
        <v>BATCH-0001</v>
      </c>
      <c r="O46" t="str">
        <v/>
      </c>
      <c r="P46" t="str">
        <v>p-0003</v>
      </c>
      <c r="Q46" t="str">
        <v>chloe duarte</v>
      </c>
      <c r="R46">
        <v>1</v>
      </c>
      <c r="S46" t="str">
        <v>synced</v>
      </c>
      <c r="T46" t="str">
        <v>2026-03-01T08:00:00Z</v>
      </c>
      <c r="U46" t="str">
        <v>fixture</v>
      </c>
      <c r="V46" t="str">
        <v/>
      </c>
      <c r="W46" t="str">
        <v>FALSE</v>
      </c>
      <c r="X46" t="str">
        <v>MF-SRC-SCHEDULEHUB-V3</v>
      </c>
      <c r="Y46">
        <v>2</v>
      </c>
    </row>
    <row r="47">
      <c r="A47" t="str">
        <v>SE-2026-04-09-P-0004</v>
      </c>
      <c r="B47" t="str">
        <v>P-0004</v>
      </c>
      <c r="C47" t="str">
        <v>Dmitri Volkov</v>
      </c>
      <c r="D47" t="str">
        <v>Late</v>
      </c>
      <c r="E47" t="str">
        <v>Operations</v>
      </c>
      <c r="F47" t="str">
        <v>2026-04-09</v>
      </c>
      <c r="G47" t="str">
        <v>Thu</v>
      </c>
      <c r="H47" t="str">
        <v/>
      </c>
      <c r="I47" t="str">
        <v/>
      </c>
      <c r="J47" t="str">
        <v/>
      </c>
      <c r="K47" t="str">
        <v/>
      </c>
      <c r="L47" t="str">
        <v>TRUE</v>
      </c>
      <c r="M47" t="str">
        <v>schedulehub_v3</v>
      </c>
      <c r="N47" t="str">
        <v>BATCH-0001</v>
      </c>
      <c r="O47" t="str">
        <v/>
      </c>
      <c r="P47" t="str">
        <v>p-0004</v>
      </c>
      <c r="Q47" t="str">
        <v>dmitri volkov</v>
      </c>
      <c r="R47">
        <v>1</v>
      </c>
      <c r="S47" t="str">
        <v>synced</v>
      </c>
      <c r="T47" t="str">
        <v>2026-03-01T08:00:00Z</v>
      </c>
      <c r="U47" t="str">
        <v>fixture</v>
      </c>
      <c r="V47" t="str">
        <v/>
      </c>
      <c r="W47" t="str">
        <v>FALSE</v>
      </c>
      <c r="X47" t="str">
        <v>MF-SRC-SCHEDULEHUB-V3</v>
      </c>
      <c r="Y47">
        <v>2</v>
      </c>
    </row>
    <row r="48">
      <c r="A48" t="str">
        <v>SE-2026-04-09-P-0005</v>
      </c>
      <c r="B48" t="str">
        <v>P-0005</v>
      </c>
      <c r="C48" t="str">
        <v>Esi Mensah</v>
      </c>
      <c r="D48" t="str">
        <v>Late</v>
      </c>
      <c r="E48" t="str">
        <v>Operations</v>
      </c>
      <c r="F48" t="str">
        <v>2026-04-09</v>
      </c>
      <c r="G48" t="str">
        <v>Thu</v>
      </c>
      <c r="H48" t="str">
        <v>12:00</v>
      </c>
      <c r="I48" t="str">
        <v>20:00</v>
      </c>
      <c r="J48" t="str">
        <v/>
      </c>
      <c r="K48" t="str">
        <v/>
      </c>
      <c r="L48" t="str">
        <v>FALSE</v>
      </c>
      <c r="M48" t="str">
        <v>schedulehub_v3</v>
      </c>
      <c r="N48" t="str">
        <v>BATCH-0001</v>
      </c>
      <c r="O48" t="str">
        <v/>
      </c>
      <c r="P48" t="str">
        <v>p-0005</v>
      </c>
      <c r="Q48" t="str">
        <v>esi mensah</v>
      </c>
      <c r="R48">
        <v>1</v>
      </c>
      <c r="S48" t="str">
        <v>synced</v>
      </c>
      <c r="T48" t="str">
        <v>2026-03-01T08:00:00Z</v>
      </c>
      <c r="U48" t="str">
        <v>fixture</v>
      </c>
      <c r="V48" t="str">
        <v/>
      </c>
      <c r="W48" t="str">
        <v>FALSE</v>
      </c>
      <c r="X48" t="str">
        <v>MF-SRC-SCHEDULEHUB-V3</v>
      </c>
      <c r="Y48">
        <v>2</v>
      </c>
    </row>
    <row r="49">
      <c r="A49" t="str">
        <v>SE-2026-04-09-P-0006</v>
      </c>
      <c r="B49" t="str">
        <v>P-0006</v>
      </c>
      <c r="C49" t="str">
        <v>Farid Haddad</v>
      </c>
      <c r="D49" t="str">
        <v>Late</v>
      </c>
      <c r="E49" t="str">
        <v>Operations</v>
      </c>
      <c r="F49" t="str">
        <v>2026-04-09</v>
      </c>
      <c r="G49" t="str">
        <v>Thu</v>
      </c>
      <c r="H49" t="str">
        <v>12:00</v>
      </c>
      <c r="I49" t="str">
        <v>20:00</v>
      </c>
      <c r="J49" t="str">
        <v/>
      </c>
      <c r="K49" t="str">
        <v/>
      </c>
      <c r="L49" t="str">
        <v>FALSE</v>
      </c>
      <c r="M49" t="str">
        <v>schedulehub_v3</v>
      </c>
      <c r="N49" t="str">
        <v>BATCH-0001</v>
      </c>
      <c r="O49" t="str">
        <v/>
      </c>
      <c r="P49" t="str">
        <v>p-0006</v>
      </c>
      <c r="Q49" t="str">
        <v>farid haddad</v>
      </c>
      <c r="R49">
        <v>1</v>
      </c>
      <c r="S49" t="str">
        <v>synced</v>
      </c>
      <c r="T49" t="str">
        <v>2026-03-01T08:00:00Z</v>
      </c>
      <c r="U49" t="str">
        <v>fixture</v>
      </c>
      <c r="V49" t="str">
        <v/>
      </c>
      <c r="W49" t="str">
        <v>FALSE</v>
      </c>
      <c r="X49" t="str">
        <v>MF-SRC-SCHEDULEHUB-V3</v>
      </c>
      <c r="Y49">
        <v>2</v>
      </c>
    </row>
    <row r="50">
      <c r="A50" t="str">
        <v>SE-2026-04-10-P-0001</v>
      </c>
      <c r="B50" t="str">
        <v>P-0001</v>
      </c>
      <c r="C50" t="str">
        <v>Amara Okafor</v>
      </c>
      <c r="D50" t="str">
        <v>Early</v>
      </c>
      <c r="E50" t="str">
        <v>Operations</v>
      </c>
      <c r="F50" t="str">
        <v>2026-04-10</v>
      </c>
      <c r="G50" t="str">
        <v>Fri</v>
      </c>
      <c r="H50" t="str">
        <v>07:00</v>
      </c>
      <c r="I50" t="str">
        <v>15:00</v>
      </c>
      <c r="J50" t="str">
        <v/>
      </c>
      <c r="K50" t="str">
        <v/>
      </c>
      <c r="L50" t="str">
        <v>FALSE</v>
      </c>
      <c r="M50" t="str">
        <v>schedulehub_v3</v>
      </c>
      <c r="N50" t="str">
        <v>BATCH-0001</v>
      </c>
      <c r="O50" t="str">
        <v/>
      </c>
      <c r="P50" t="str">
        <v>p-0001</v>
      </c>
      <c r="Q50" t="str">
        <v>amara okafor</v>
      </c>
      <c r="R50">
        <v>1</v>
      </c>
      <c r="S50" t="str">
        <v>synced</v>
      </c>
      <c r="T50" t="str">
        <v>2026-03-01T08:00:00Z</v>
      </c>
      <c r="U50" t="str">
        <v>fixture</v>
      </c>
      <c r="V50" t="str">
        <v/>
      </c>
      <c r="W50" t="str">
        <v>FALSE</v>
      </c>
      <c r="X50" t="str">
        <v>MF-SRC-SCHEDULEHUB-V3</v>
      </c>
      <c r="Y50">
        <v>2</v>
      </c>
    </row>
    <row r="51">
      <c r="A51" t="str">
        <v>SE-2026-04-10-P-0002</v>
      </c>
      <c r="B51" t="str">
        <v>P-0002</v>
      </c>
      <c r="C51" t="str">
        <v>Ben Sorensen</v>
      </c>
      <c r="D51" t="str">
        <v>Early</v>
      </c>
      <c r="E51" t="str">
        <v>Operations</v>
      </c>
      <c r="F51" t="str">
        <v>2026-04-10</v>
      </c>
      <c r="G51" t="str">
        <v>Fri</v>
      </c>
      <c r="H51" t="str">
        <v>07:00</v>
      </c>
      <c r="I51" t="str">
        <v>15:00</v>
      </c>
      <c r="J51" t="str">
        <v/>
      </c>
      <c r="K51" t="str">
        <v/>
      </c>
      <c r="L51" t="str">
        <v>FALSE</v>
      </c>
      <c r="M51" t="str">
        <v>schedulehub_v3</v>
      </c>
      <c r="N51" t="str">
        <v>BATCH-0001</v>
      </c>
      <c r="O51" t="str">
        <v/>
      </c>
      <c r="P51" t="str">
        <v>p-0002</v>
      </c>
      <c r="Q51" t="str">
        <v>ben sorensen</v>
      </c>
      <c r="R51">
        <v>1</v>
      </c>
      <c r="S51" t="str">
        <v>synced</v>
      </c>
      <c r="T51" t="str">
        <v>2026-03-01T08:00:00Z</v>
      </c>
      <c r="U51" t="str">
        <v>fixture</v>
      </c>
      <c r="V51" t="str">
        <v/>
      </c>
      <c r="W51" t="str">
        <v>FALSE</v>
      </c>
      <c r="X51" t="str">
        <v>MF-SRC-SCHEDULEHUB-V3</v>
      </c>
      <c r="Y51">
        <v>2</v>
      </c>
    </row>
    <row r="52">
      <c r="A52" t="str">
        <v>SE-2026-04-10-P-0003</v>
      </c>
      <c r="B52" t="str">
        <v>P-0003</v>
      </c>
      <c r="C52" t="str">
        <v>Chloe Duarte</v>
      </c>
      <c r="D52" t="str">
        <v>Early</v>
      </c>
      <c r="E52" t="str">
        <v>Operations</v>
      </c>
      <c r="F52" t="str">
        <v>2026-04-10</v>
      </c>
      <c r="G52" t="str">
        <v>Fri</v>
      </c>
      <c r="H52" t="str">
        <v/>
      </c>
      <c r="I52" t="str">
        <v/>
      </c>
      <c r="J52" t="str">
        <v/>
      </c>
      <c r="K52" t="str">
        <v/>
      </c>
      <c r="L52" t="str">
        <v>TRUE</v>
      </c>
      <c r="M52" t="str">
        <v>schedulehub_v3</v>
      </c>
      <c r="N52" t="str">
        <v>BATCH-0001</v>
      </c>
      <c r="O52" t="str">
        <v/>
      </c>
      <c r="P52" t="str">
        <v>p-0003</v>
      </c>
      <c r="Q52" t="str">
        <v>chloe duarte</v>
      </c>
      <c r="R52">
        <v>1</v>
      </c>
      <c r="S52" t="str">
        <v>synced</v>
      </c>
      <c r="T52" t="str">
        <v>2026-03-01T08:00:00Z</v>
      </c>
      <c r="U52" t="str">
        <v>fixture</v>
      </c>
      <c r="V52" t="str">
        <v/>
      </c>
      <c r="W52" t="str">
        <v>FALSE</v>
      </c>
      <c r="X52" t="str">
        <v>MF-SRC-SCHEDULEHUB-V3</v>
      </c>
      <c r="Y52">
        <v>2</v>
      </c>
    </row>
    <row r="53">
      <c r="A53" t="str">
        <v>SE-2026-04-10-P-0004</v>
      </c>
      <c r="B53" t="str">
        <v>P-0004</v>
      </c>
      <c r="C53" t="str">
        <v>Dmitri Volkov</v>
      </c>
      <c r="D53" t="str">
        <v>Late</v>
      </c>
      <c r="E53" t="str">
        <v>Operations</v>
      </c>
      <c r="F53" t="str">
        <v>2026-04-10</v>
      </c>
      <c r="G53" t="str">
        <v>Fri</v>
      </c>
      <c r="H53" t="str">
        <v>12:00</v>
      </c>
      <c r="I53" t="str">
        <v>20:00</v>
      </c>
      <c r="J53" t="str">
        <v/>
      </c>
      <c r="K53" t="str">
        <v/>
      </c>
      <c r="L53" t="str">
        <v>FALSE</v>
      </c>
      <c r="M53" t="str">
        <v>schedulehub_v3</v>
      </c>
      <c r="N53" t="str">
        <v>BATCH-0001</v>
      </c>
      <c r="O53" t="str">
        <v/>
      </c>
      <c r="P53" t="str">
        <v>p-0004</v>
      </c>
      <c r="Q53" t="str">
        <v>dmitri volkov</v>
      </c>
      <c r="R53">
        <v>1</v>
      </c>
      <c r="S53" t="str">
        <v>synced</v>
      </c>
      <c r="T53" t="str">
        <v>2026-03-01T08:00:00Z</v>
      </c>
      <c r="U53" t="str">
        <v>fixture</v>
      </c>
      <c r="V53" t="str">
        <v/>
      </c>
      <c r="W53" t="str">
        <v>FALSE</v>
      </c>
      <c r="X53" t="str">
        <v>MF-SRC-SCHEDULEHUB-V3</v>
      </c>
      <c r="Y53">
        <v>2</v>
      </c>
    </row>
    <row r="54">
      <c r="A54" t="str">
        <v>SE-2026-04-10-P-0005</v>
      </c>
      <c r="B54" t="str">
        <v>P-0005</v>
      </c>
      <c r="C54" t="str">
        <v>Esi Mensah</v>
      </c>
      <c r="D54" t="str">
        <v>Late</v>
      </c>
      <c r="E54" t="str">
        <v>Operations</v>
      </c>
      <c r="F54" t="str">
        <v>2026-04-10</v>
      </c>
      <c r="G54" t="str">
        <v>Fri</v>
      </c>
      <c r="H54" t="str">
        <v>12:00</v>
      </c>
      <c r="I54" t="str">
        <v>20:00</v>
      </c>
      <c r="J54" t="str">
        <v/>
      </c>
      <c r="K54" t="str">
        <v/>
      </c>
      <c r="L54" t="str">
        <v>FALSE</v>
      </c>
      <c r="M54" t="str">
        <v>schedulehub_v3</v>
      </c>
      <c r="N54" t="str">
        <v>BATCH-0001</v>
      </c>
      <c r="O54" t="str">
        <v/>
      </c>
      <c r="P54" t="str">
        <v>p-0005</v>
      </c>
      <c r="Q54" t="str">
        <v>esi mensah</v>
      </c>
      <c r="R54">
        <v>1</v>
      </c>
      <c r="S54" t="str">
        <v>synced</v>
      </c>
      <c r="T54" t="str">
        <v>2026-03-01T08:00:00Z</v>
      </c>
      <c r="U54" t="str">
        <v>fixture</v>
      </c>
      <c r="V54" t="str">
        <v/>
      </c>
      <c r="W54" t="str">
        <v>FALSE</v>
      </c>
      <c r="X54" t="str">
        <v>MF-SRC-SCHEDULEHUB-V3</v>
      </c>
      <c r="Y54">
        <v>2</v>
      </c>
    </row>
    <row r="55">
      <c r="A55" t="str">
        <v>SE-2026-04-10-P-0006</v>
      </c>
      <c r="B55" t="str">
        <v>P-0006</v>
      </c>
      <c r="C55" t="str">
        <v>Farid Haddad</v>
      </c>
      <c r="D55" t="str">
        <v>Late</v>
      </c>
      <c r="E55" t="str">
        <v>Operations</v>
      </c>
      <c r="F55" t="str">
        <v>2026-04-10</v>
      </c>
      <c r="G55" t="str">
        <v>Fri</v>
      </c>
      <c r="H55" t="str">
        <v>12:00</v>
      </c>
      <c r="I55" t="str">
        <v>20:00</v>
      </c>
      <c r="J55" t="str">
        <v/>
      </c>
      <c r="K55" t="str">
        <v/>
      </c>
      <c r="L55" t="str">
        <v>FALSE</v>
      </c>
      <c r="M55" t="str">
        <v>schedulehub_v3</v>
      </c>
      <c r="N55" t="str">
        <v>BATCH-0001</v>
      </c>
      <c r="O55" t="str">
        <v/>
      </c>
      <c r="P55" t="str">
        <v>p-0006</v>
      </c>
      <c r="Q55" t="str">
        <v>farid haddad</v>
      </c>
      <c r="R55">
        <v>1</v>
      </c>
      <c r="S55" t="str">
        <v>synced</v>
      </c>
      <c r="T55" t="str">
        <v>2026-03-01T08:00:00Z</v>
      </c>
      <c r="U55" t="str">
        <v>fixture</v>
      </c>
      <c r="V55" t="str">
        <v/>
      </c>
      <c r="W55" t="str">
        <v>FALSE</v>
      </c>
      <c r="X55" t="str">
        <v>MF-SRC-SCHEDULEHUB-V3</v>
      </c>
      <c r="Y55">
        <v>2</v>
      </c>
    </row>
    <row r="56">
      <c r="A56" t="str">
        <v>SE-2026-04-11-P-0001</v>
      </c>
      <c r="B56" t="str">
        <v>P-0001</v>
      </c>
      <c r="C56" t="str">
        <v>Amara Okafor</v>
      </c>
      <c r="D56" t="str">
        <v>Early</v>
      </c>
      <c r="E56" t="str">
        <v>Operations</v>
      </c>
      <c r="F56" t="str">
        <v>2026-04-11</v>
      </c>
      <c r="G56" t="str">
        <v>Sat</v>
      </c>
      <c r="H56" t="str">
        <v>07:00</v>
      </c>
      <c r="I56" t="str">
        <v>15:00</v>
      </c>
      <c r="J56" t="str">
        <v/>
      </c>
      <c r="K56" t="str">
        <v/>
      </c>
      <c r="L56" t="str">
        <v>FALSE</v>
      </c>
      <c r="M56" t="str">
        <v>schedulehub_v3</v>
      </c>
      <c r="N56" t="str">
        <v>BATCH-0001</v>
      </c>
      <c r="O56" t="str">
        <v/>
      </c>
      <c r="P56" t="str">
        <v>p-0001</v>
      </c>
      <c r="Q56" t="str">
        <v>amara okafor</v>
      </c>
      <c r="R56">
        <v>1</v>
      </c>
      <c r="S56" t="str">
        <v>synced</v>
      </c>
      <c r="T56" t="str">
        <v>2026-03-01T08:00:00Z</v>
      </c>
      <c r="U56" t="str">
        <v>fixture</v>
      </c>
      <c r="V56" t="str">
        <v/>
      </c>
      <c r="W56" t="str">
        <v>FALSE</v>
      </c>
      <c r="X56" t="str">
        <v>MF-SRC-SCHEDULEHUB-V3</v>
      </c>
      <c r="Y56">
        <v>2</v>
      </c>
    </row>
    <row r="57">
      <c r="A57" t="str">
        <v>SE-2026-04-11-P-0002</v>
      </c>
      <c r="B57" t="str">
        <v>P-0002</v>
      </c>
      <c r="C57" t="str">
        <v>Ben Sorensen</v>
      </c>
      <c r="D57" t="str">
        <v>Early</v>
      </c>
      <c r="E57" t="str">
        <v>Operations</v>
      </c>
      <c r="F57" t="str">
        <v>2026-04-11</v>
      </c>
      <c r="G57" t="str">
        <v>Sat</v>
      </c>
      <c r="H57" t="str">
        <v>07:00</v>
      </c>
      <c r="I57" t="str">
        <v>15:00</v>
      </c>
      <c r="J57" t="str">
        <v/>
      </c>
      <c r="K57" t="str">
        <v/>
      </c>
      <c r="L57" t="str">
        <v>FALSE</v>
      </c>
      <c r="M57" t="str">
        <v>schedulehub_v3</v>
      </c>
      <c r="N57" t="str">
        <v>BATCH-0001</v>
      </c>
      <c r="O57" t="str">
        <v/>
      </c>
      <c r="P57" t="str">
        <v>p-0002</v>
      </c>
      <c r="Q57" t="str">
        <v>ben sorensen</v>
      </c>
      <c r="R57">
        <v>1</v>
      </c>
      <c r="S57" t="str">
        <v>synced</v>
      </c>
      <c r="T57" t="str">
        <v>2026-03-01T08:00:00Z</v>
      </c>
      <c r="U57" t="str">
        <v>fixture</v>
      </c>
      <c r="V57" t="str">
        <v/>
      </c>
      <c r="W57" t="str">
        <v>FALSE</v>
      </c>
      <c r="X57" t="str">
        <v>MF-SRC-SCHEDULEHUB-V3</v>
      </c>
      <c r="Y57">
        <v>2</v>
      </c>
    </row>
    <row r="58">
      <c r="A58" t="str">
        <v>SE-2026-04-11-P-0003</v>
      </c>
      <c r="B58" t="str">
        <v>P-0003</v>
      </c>
      <c r="C58" t="str">
        <v>Chloe Duarte</v>
      </c>
      <c r="D58" t="str">
        <v>Early</v>
      </c>
      <c r="E58" t="str">
        <v>Operations</v>
      </c>
      <c r="F58" t="str">
        <v>2026-04-11</v>
      </c>
      <c r="G58" t="str">
        <v>Sat</v>
      </c>
      <c r="H58" t="str">
        <v/>
      </c>
      <c r="I58" t="str">
        <v/>
      </c>
      <c r="J58" t="str">
        <v/>
      </c>
      <c r="K58" t="str">
        <v/>
      </c>
      <c r="L58" t="str">
        <v>TRUE</v>
      </c>
      <c r="M58" t="str">
        <v>schedulehub_v3</v>
      </c>
      <c r="N58" t="str">
        <v>BATCH-0001</v>
      </c>
      <c r="O58" t="str">
        <v/>
      </c>
      <c r="P58" t="str">
        <v>p-0003</v>
      </c>
      <c r="Q58" t="str">
        <v>chloe duarte</v>
      </c>
      <c r="R58">
        <v>1</v>
      </c>
      <c r="S58" t="str">
        <v>synced</v>
      </c>
      <c r="T58" t="str">
        <v>2026-03-01T08:00:00Z</v>
      </c>
      <c r="U58" t="str">
        <v>fixture</v>
      </c>
      <c r="V58" t="str">
        <v/>
      </c>
      <c r="W58" t="str">
        <v>FALSE</v>
      </c>
      <c r="X58" t="str">
        <v>MF-SRC-SCHEDULEHUB-V3</v>
      </c>
      <c r="Y58">
        <v>2</v>
      </c>
    </row>
    <row r="59">
      <c r="A59" t="str">
        <v>SE-2026-04-11-P-0004</v>
      </c>
      <c r="B59" t="str">
        <v>P-0004</v>
      </c>
      <c r="C59" t="str">
        <v>Dmitri Volkov</v>
      </c>
      <c r="D59" t="str">
        <v>Late</v>
      </c>
      <c r="E59" t="str">
        <v>Operations</v>
      </c>
      <c r="F59" t="str">
        <v>2026-04-11</v>
      </c>
      <c r="G59" t="str">
        <v>Sat</v>
      </c>
      <c r="H59" t="str">
        <v>12:00</v>
      </c>
      <c r="I59" t="str">
        <v>20:00</v>
      </c>
      <c r="J59" t="str">
        <v/>
      </c>
      <c r="K59" t="str">
        <v/>
      </c>
      <c r="L59" t="str">
        <v>FALSE</v>
      </c>
      <c r="M59" t="str">
        <v>schedulehub_v3</v>
      </c>
      <c r="N59" t="str">
        <v>BATCH-0001</v>
      </c>
      <c r="O59" t="str">
        <v/>
      </c>
      <c r="P59" t="str">
        <v>p-0004</v>
      </c>
      <c r="Q59" t="str">
        <v>dmitri volkov</v>
      </c>
      <c r="R59">
        <v>1</v>
      </c>
      <c r="S59" t="str">
        <v>synced</v>
      </c>
      <c r="T59" t="str">
        <v>2026-03-01T08:00:00Z</v>
      </c>
      <c r="U59" t="str">
        <v>fixture</v>
      </c>
      <c r="V59" t="str">
        <v/>
      </c>
      <c r="W59" t="str">
        <v>FALSE</v>
      </c>
      <c r="X59" t="str">
        <v>MF-SRC-SCHEDULEHUB-V3</v>
      </c>
      <c r="Y59">
        <v>2</v>
      </c>
    </row>
    <row r="60">
      <c r="A60" t="str">
        <v>SE-2026-04-11-P-0005</v>
      </c>
      <c r="B60" t="str">
        <v>P-0005</v>
      </c>
      <c r="C60" t="str">
        <v>Esi Mensah</v>
      </c>
      <c r="D60" t="str">
        <v>Late</v>
      </c>
      <c r="E60" t="str">
        <v>Operations</v>
      </c>
      <c r="F60" t="str">
        <v>2026-04-11</v>
      </c>
      <c r="G60" t="str">
        <v>Sat</v>
      </c>
      <c r="H60" t="str">
        <v>12:00</v>
      </c>
      <c r="I60" t="str">
        <v>20:00</v>
      </c>
      <c r="J60" t="str">
        <v/>
      </c>
      <c r="K60" t="str">
        <v/>
      </c>
      <c r="L60" t="str">
        <v>FALSE</v>
      </c>
      <c r="M60" t="str">
        <v>schedulehub_v3</v>
      </c>
      <c r="N60" t="str">
        <v>BATCH-0001</v>
      </c>
      <c r="O60" t="str">
        <v/>
      </c>
      <c r="P60" t="str">
        <v>p-0005</v>
      </c>
      <c r="Q60" t="str">
        <v>esi mensah</v>
      </c>
      <c r="R60">
        <v>1</v>
      </c>
      <c r="S60" t="str">
        <v>synced</v>
      </c>
      <c r="T60" t="str">
        <v>2026-03-01T08:00:00Z</v>
      </c>
      <c r="U60" t="str">
        <v>fixture</v>
      </c>
      <c r="V60" t="str">
        <v/>
      </c>
      <c r="W60" t="str">
        <v>FALSE</v>
      </c>
      <c r="X60" t="str">
        <v>MF-SRC-SCHEDULEHUB-V3</v>
      </c>
      <c r="Y60">
        <v>2</v>
      </c>
    </row>
    <row r="61">
      <c r="A61" t="str">
        <v>SE-2026-04-11-P-0006</v>
      </c>
      <c r="B61" t="str">
        <v>P-0006</v>
      </c>
      <c r="C61" t="str">
        <v>Farid Haddad</v>
      </c>
      <c r="D61" t="str">
        <v>Late</v>
      </c>
      <c r="E61" t="str">
        <v>Operations</v>
      </c>
      <c r="F61" t="str">
        <v>2026-04-11</v>
      </c>
      <c r="G61" t="str">
        <v>Sat</v>
      </c>
      <c r="H61" t="str">
        <v/>
      </c>
      <c r="I61" t="str">
        <v/>
      </c>
      <c r="J61" t="str">
        <v/>
      </c>
      <c r="K61" t="str">
        <v/>
      </c>
      <c r="L61" t="str">
        <v>TRUE</v>
      </c>
      <c r="M61" t="str">
        <v>schedulehub_v3</v>
      </c>
      <c r="N61" t="str">
        <v>BATCH-0001</v>
      </c>
      <c r="O61" t="str">
        <v/>
      </c>
      <c r="P61" t="str">
        <v>p-0006</v>
      </c>
      <c r="Q61" t="str">
        <v>farid haddad</v>
      </c>
      <c r="R61">
        <v>1</v>
      </c>
      <c r="S61" t="str">
        <v>synced</v>
      </c>
      <c r="T61" t="str">
        <v>2026-03-01T08:00:00Z</v>
      </c>
      <c r="U61" t="str">
        <v>fixture</v>
      </c>
      <c r="V61" t="str">
        <v/>
      </c>
      <c r="W61" t="str">
        <v>FALSE</v>
      </c>
      <c r="X61" t="str">
        <v>MF-SRC-SCHEDULEHUB-V3</v>
      </c>
      <c r="Y61">
        <v>2</v>
      </c>
    </row>
    <row r="62">
      <c r="A62" t="str">
        <v>SE-2026-04-12-P-0001</v>
      </c>
      <c r="B62" t="str">
        <v>P-0001</v>
      </c>
      <c r="C62" t="str">
        <v>Amara Okafor</v>
      </c>
      <c r="D62" t="str">
        <v>Early</v>
      </c>
      <c r="E62" t="str">
        <v>Operations</v>
      </c>
      <c r="F62" t="str">
        <v>2026-04-12</v>
      </c>
      <c r="G62" t="str">
        <v>Sun</v>
      </c>
      <c r="H62" t="str">
        <v>07:00</v>
      </c>
      <c r="I62" t="str">
        <v>15:00</v>
      </c>
      <c r="J62" t="str">
        <v/>
      </c>
      <c r="K62" t="str">
        <v/>
      </c>
      <c r="L62" t="str">
        <v>FALSE</v>
      </c>
      <c r="M62" t="str">
        <v>schedulehub_v3</v>
      </c>
      <c r="N62" t="str">
        <v>BATCH-0001</v>
      </c>
      <c r="O62" t="str">
        <v/>
      </c>
      <c r="P62" t="str">
        <v>p-0001</v>
      </c>
      <c r="Q62" t="str">
        <v>amara okafor</v>
      </c>
      <c r="R62">
        <v>1</v>
      </c>
      <c r="S62" t="str">
        <v>synced</v>
      </c>
      <c r="T62" t="str">
        <v>2026-03-01T08:00:00Z</v>
      </c>
      <c r="U62" t="str">
        <v>fixture</v>
      </c>
      <c r="V62" t="str">
        <v/>
      </c>
      <c r="W62" t="str">
        <v>FALSE</v>
      </c>
      <c r="X62" t="str">
        <v>MF-SRC-SCHEDULEHUB-V3</v>
      </c>
      <c r="Y62">
        <v>2</v>
      </c>
    </row>
    <row r="63">
      <c r="A63" t="str">
        <v>SE-2026-04-12-P-0002</v>
      </c>
      <c r="B63" t="str">
        <v>P-0002</v>
      </c>
      <c r="C63" t="str">
        <v>Ben Sorensen</v>
      </c>
      <c r="D63" t="str">
        <v>Early</v>
      </c>
      <c r="E63" t="str">
        <v>Operations</v>
      </c>
      <c r="F63" t="str">
        <v>2026-04-12</v>
      </c>
      <c r="G63" t="str">
        <v>Sun</v>
      </c>
      <c r="H63" t="str">
        <v/>
      </c>
      <c r="I63" t="str">
        <v/>
      </c>
      <c r="J63" t="str">
        <v/>
      </c>
      <c r="K63" t="str">
        <v/>
      </c>
      <c r="L63" t="str">
        <v>TRUE</v>
      </c>
      <c r="M63" t="str">
        <v>schedulehub_v3</v>
      </c>
      <c r="N63" t="str">
        <v>BATCH-0001</v>
      </c>
      <c r="O63" t="str">
        <v/>
      </c>
      <c r="P63" t="str">
        <v>p-0002</v>
      </c>
      <c r="Q63" t="str">
        <v>ben sorensen</v>
      </c>
      <c r="R63">
        <v>1</v>
      </c>
      <c r="S63" t="str">
        <v>synced</v>
      </c>
      <c r="T63" t="str">
        <v>2026-03-01T08:00:00Z</v>
      </c>
      <c r="U63" t="str">
        <v>fixture</v>
      </c>
      <c r="V63" t="str">
        <v/>
      </c>
      <c r="W63" t="str">
        <v>FALSE</v>
      </c>
      <c r="X63" t="str">
        <v>MF-SRC-SCHEDULEHUB-V3</v>
      </c>
      <c r="Y63">
        <v>2</v>
      </c>
    </row>
    <row r="64">
      <c r="A64" t="str">
        <v>SE-2026-04-12-P-0003</v>
      </c>
      <c r="B64" t="str">
        <v>P-0003</v>
      </c>
      <c r="C64" t="str">
        <v>Chloe Duarte</v>
      </c>
      <c r="D64" t="str">
        <v>Early</v>
      </c>
      <c r="E64" t="str">
        <v>Operations</v>
      </c>
      <c r="F64" t="str">
        <v>2026-04-12</v>
      </c>
      <c r="G64" t="str">
        <v>Sun</v>
      </c>
      <c r="H64" t="str">
        <v>07:00</v>
      </c>
      <c r="I64" t="str">
        <v>15:00</v>
      </c>
      <c r="J64" t="str">
        <v/>
      </c>
      <c r="K64" t="str">
        <v/>
      </c>
      <c r="L64" t="str">
        <v>FALSE</v>
      </c>
      <c r="M64" t="str">
        <v>schedulehub_v3</v>
      </c>
      <c r="N64" t="str">
        <v>BATCH-0001</v>
      </c>
      <c r="O64" t="str">
        <v/>
      </c>
      <c r="P64" t="str">
        <v>p-0003</v>
      </c>
      <c r="Q64" t="str">
        <v>chloe duarte</v>
      </c>
      <c r="R64">
        <v>1</v>
      </c>
      <c r="S64" t="str">
        <v>synced</v>
      </c>
      <c r="T64" t="str">
        <v>2026-03-01T08:00:00Z</v>
      </c>
      <c r="U64" t="str">
        <v>fixture</v>
      </c>
      <c r="V64" t="str">
        <v/>
      </c>
      <c r="W64" t="str">
        <v>FALSE</v>
      </c>
      <c r="X64" t="str">
        <v>MF-SRC-SCHEDULEHUB-V3</v>
      </c>
      <c r="Y64">
        <v>2</v>
      </c>
    </row>
    <row r="65">
      <c r="A65" t="str">
        <v>SE-2026-04-12-P-0004</v>
      </c>
      <c r="B65" t="str">
        <v>P-0004</v>
      </c>
      <c r="C65" t="str">
        <v>Dmitri Volkov</v>
      </c>
      <c r="D65" t="str">
        <v>Late</v>
      </c>
      <c r="E65" t="str">
        <v>Operations</v>
      </c>
      <c r="F65" t="str">
        <v>2026-04-12</v>
      </c>
      <c r="G65" t="str">
        <v>Sun</v>
      </c>
      <c r="H65" t="str">
        <v>12:00</v>
      </c>
      <c r="I65" t="str">
        <v>20:00</v>
      </c>
      <c r="J65" t="str">
        <v/>
      </c>
      <c r="K65" t="str">
        <v/>
      </c>
      <c r="L65" t="str">
        <v>FALSE</v>
      </c>
      <c r="M65" t="str">
        <v>schedulehub_v3</v>
      </c>
      <c r="N65" t="str">
        <v>BATCH-0001</v>
      </c>
      <c r="O65" t="str">
        <v/>
      </c>
      <c r="P65" t="str">
        <v>p-0004</v>
      </c>
      <c r="Q65" t="str">
        <v>dmitri volkov</v>
      </c>
      <c r="R65">
        <v>1</v>
      </c>
      <c r="S65" t="str">
        <v>synced</v>
      </c>
      <c r="T65" t="str">
        <v>2026-03-01T08:00:00Z</v>
      </c>
      <c r="U65" t="str">
        <v>fixture</v>
      </c>
      <c r="V65" t="str">
        <v/>
      </c>
      <c r="W65" t="str">
        <v>FALSE</v>
      </c>
      <c r="X65" t="str">
        <v>MF-SRC-SCHEDULEHUB-V3</v>
      </c>
      <c r="Y65">
        <v>2</v>
      </c>
    </row>
    <row r="66">
      <c r="A66" t="str">
        <v>SE-2026-04-12-P-0005</v>
      </c>
      <c r="B66" t="str">
        <v>P-0005</v>
      </c>
      <c r="C66" t="str">
        <v>Esi Mensah</v>
      </c>
      <c r="D66" t="str">
        <v>Late</v>
      </c>
      <c r="E66" t="str">
        <v>Operations</v>
      </c>
      <c r="F66" t="str">
        <v>2026-04-12</v>
      </c>
      <c r="G66" t="str">
        <v>Sun</v>
      </c>
      <c r="H66" t="str">
        <v>12:00</v>
      </c>
      <c r="I66" t="str">
        <v>20:00</v>
      </c>
      <c r="J66" t="str">
        <v/>
      </c>
      <c r="K66" t="str">
        <v/>
      </c>
      <c r="L66" t="str">
        <v>FALSE</v>
      </c>
      <c r="M66" t="str">
        <v>schedulehub_v3</v>
      </c>
      <c r="N66" t="str">
        <v>BATCH-0001</v>
      </c>
      <c r="O66" t="str">
        <v/>
      </c>
      <c r="P66" t="str">
        <v>p-0005</v>
      </c>
      <c r="Q66" t="str">
        <v>esi mensah</v>
      </c>
      <c r="R66">
        <v>1</v>
      </c>
      <c r="S66" t="str">
        <v>synced</v>
      </c>
      <c r="T66" t="str">
        <v>2026-03-01T08:00:00Z</v>
      </c>
      <c r="U66" t="str">
        <v>fixture</v>
      </c>
      <c r="V66" t="str">
        <v/>
      </c>
      <c r="W66" t="str">
        <v>FALSE</v>
      </c>
      <c r="X66" t="str">
        <v>MF-SRC-SCHEDULEHUB-V3</v>
      </c>
      <c r="Y66">
        <v>2</v>
      </c>
    </row>
    <row r="67">
      <c r="A67" t="str">
        <v>SE-2026-04-12-P-0006</v>
      </c>
      <c r="B67" t="str">
        <v>P-0006</v>
      </c>
      <c r="C67" t="str">
        <v>Farid Haddad</v>
      </c>
      <c r="D67" t="str">
        <v>Late</v>
      </c>
      <c r="E67" t="str">
        <v>Operations</v>
      </c>
      <c r="F67" t="str">
        <v>2026-04-12</v>
      </c>
      <c r="G67" t="str">
        <v>Sun</v>
      </c>
      <c r="H67" t="str">
        <v/>
      </c>
      <c r="I67" t="str">
        <v/>
      </c>
      <c r="J67" t="str">
        <v/>
      </c>
      <c r="K67" t="str">
        <v/>
      </c>
      <c r="L67" t="str">
        <v>TRUE</v>
      </c>
      <c r="M67" t="str">
        <v>schedulehub_v3</v>
      </c>
      <c r="N67" t="str">
        <v>BATCH-0001</v>
      </c>
      <c r="O67" t="str">
        <v/>
      </c>
      <c r="P67" t="str">
        <v>p-0006</v>
      </c>
      <c r="Q67" t="str">
        <v>farid haddad</v>
      </c>
      <c r="R67">
        <v>1</v>
      </c>
      <c r="S67" t="str">
        <v>synced</v>
      </c>
      <c r="T67" t="str">
        <v>2026-03-01T08:00:00Z</v>
      </c>
      <c r="U67" t="str">
        <v>fixture</v>
      </c>
      <c r="V67" t="str">
        <v/>
      </c>
      <c r="W67" t="str">
        <v>FALSE</v>
      </c>
      <c r="X67" t="str">
        <v>MF-SRC-SCHEDULEHUB-V3</v>
      </c>
      <c r="Y67">
        <v>2</v>
      </c>
    </row>
    <row r="68">
      <c r="A68" t="str">
        <v>SE-2026-04-13-P-0001</v>
      </c>
      <c r="B68" t="str">
        <v>P-0001</v>
      </c>
      <c r="C68" t="str">
        <v>Amara Okafor</v>
      </c>
      <c r="D68" t="str">
        <v>Early</v>
      </c>
      <c r="E68" t="str">
        <v>Operations</v>
      </c>
      <c r="F68" t="str">
        <v>2026-04-13</v>
      </c>
      <c r="G68" t="str">
        <v>Mon</v>
      </c>
      <c r="H68" t="str">
        <v>07:00</v>
      </c>
      <c r="I68" t="str">
        <v>15:00</v>
      </c>
      <c r="J68" t="str">
        <v/>
      </c>
      <c r="K68" t="str">
        <v/>
      </c>
      <c r="L68" t="str">
        <v>FALSE</v>
      </c>
      <c r="M68" t="str">
        <v>schedulehub_v3</v>
      </c>
      <c r="N68" t="str">
        <v>BATCH-0001</v>
      </c>
      <c r="O68" t="str">
        <v/>
      </c>
      <c r="P68" t="str">
        <v>p-0001</v>
      </c>
      <c r="Q68" t="str">
        <v>amara okafor</v>
      </c>
      <c r="R68">
        <v>1</v>
      </c>
      <c r="S68" t="str">
        <v>synced</v>
      </c>
      <c r="T68" t="str">
        <v>2026-03-01T08:00:00Z</v>
      </c>
      <c r="U68" t="str">
        <v>fixture</v>
      </c>
      <c r="V68" t="str">
        <v/>
      </c>
      <c r="W68" t="str">
        <v>FALSE</v>
      </c>
      <c r="X68" t="str">
        <v>MF-SRC-SCHEDULEHUB-V3</v>
      </c>
      <c r="Y68">
        <v>2</v>
      </c>
    </row>
    <row r="69">
      <c r="A69" t="str">
        <v>SE-2026-04-13-P-0002</v>
      </c>
      <c r="B69" t="str">
        <v>P-0002</v>
      </c>
      <c r="C69" t="str">
        <v>Ben Sorensen</v>
      </c>
      <c r="D69" t="str">
        <v>Early</v>
      </c>
      <c r="E69" t="str">
        <v>Operations</v>
      </c>
      <c r="F69" t="str">
        <v>2026-04-13</v>
      </c>
      <c r="G69" t="str">
        <v>Mon</v>
      </c>
      <c r="H69" t="str">
        <v/>
      </c>
      <c r="I69" t="str">
        <v/>
      </c>
      <c r="J69" t="str">
        <v/>
      </c>
      <c r="K69" t="str">
        <v/>
      </c>
      <c r="L69" t="str">
        <v>TRUE</v>
      </c>
      <c r="M69" t="str">
        <v>schedulehub_v3</v>
      </c>
      <c r="N69" t="str">
        <v>BATCH-0001</v>
      </c>
      <c r="O69" t="str">
        <v/>
      </c>
      <c r="P69" t="str">
        <v>p-0002</v>
      </c>
      <c r="Q69" t="str">
        <v>ben sorensen</v>
      </c>
      <c r="R69">
        <v>1</v>
      </c>
      <c r="S69" t="str">
        <v>synced</v>
      </c>
      <c r="T69" t="str">
        <v>2026-03-01T08:00:00Z</v>
      </c>
      <c r="U69" t="str">
        <v>fixture</v>
      </c>
      <c r="V69" t="str">
        <v/>
      </c>
      <c r="W69" t="str">
        <v>FALSE</v>
      </c>
      <c r="X69" t="str">
        <v>MF-SRC-SCHEDULEHUB-V3</v>
      </c>
      <c r="Y69">
        <v>2</v>
      </c>
    </row>
    <row r="70">
      <c r="A70" t="str">
        <v>SE-2026-04-13-P-0003</v>
      </c>
      <c r="B70" t="str">
        <v>P-0003</v>
      </c>
      <c r="C70" t="str">
        <v>Chloe Duarte</v>
      </c>
      <c r="D70" t="str">
        <v>Early</v>
      </c>
      <c r="E70" t="str">
        <v>Operations</v>
      </c>
      <c r="F70" t="str">
        <v>2026-04-13</v>
      </c>
      <c r="G70" t="str">
        <v>Mon</v>
      </c>
      <c r="H70" t="str">
        <v>07:00</v>
      </c>
      <c r="I70" t="str">
        <v>15:00</v>
      </c>
      <c r="J70" t="str">
        <v/>
      </c>
      <c r="K70" t="str">
        <v/>
      </c>
      <c r="L70" t="str">
        <v>FALSE</v>
      </c>
      <c r="M70" t="str">
        <v>schedulehub_v3</v>
      </c>
      <c r="N70" t="str">
        <v>BATCH-0001</v>
      </c>
      <c r="O70" t="str">
        <v/>
      </c>
      <c r="P70" t="str">
        <v>p-0003</v>
      </c>
      <c r="Q70" t="str">
        <v>chloe duarte</v>
      </c>
      <c r="R70">
        <v>1</v>
      </c>
      <c r="S70" t="str">
        <v>synced</v>
      </c>
      <c r="T70" t="str">
        <v>2026-03-01T08:00:00Z</v>
      </c>
      <c r="U70" t="str">
        <v>fixture</v>
      </c>
      <c r="V70" t="str">
        <v/>
      </c>
      <c r="W70" t="str">
        <v>FALSE</v>
      </c>
      <c r="X70" t="str">
        <v>MF-SRC-SCHEDULEHUB-V3</v>
      </c>
      <c r="Y70">
        <v>2</v>
      </c>
    </row>
    <row r="71">
      <c r="A71" t="str">
        <v>SE-2026-04-13-P-0004</v>
      </c>
      <c r="B71" t="str">
        <v>P-0004</v>
      </c>
      <c r="C71" t="str">
        <v>Dmitri Volkov</v>
      </c>
      <c r="D71" t="str">
        <v>Late</v>
      </c>
      <c r="E71" t="str">
        <v>Operations</v>
      </c>
      <c r="F71" t="str">
        <v>2026-04-13</v>
      </c>
      <c r="G71" t="str">
        <v>Mon</v>
      </c>
      <c r="H71" t="str">
        <v>12:00</v>
      </c>
      <c r="I71" t="str">
        <v>20:00</v>
      </c>
      <c r="J71" t="str">
        <v/>
      </c>
      <c r="K71" t="str">
        <v/>
      </c>
      <c r="L71" t="str">
        <v>FALSE</v>
      </c>
      <c r="M71" t="str">
        <v>schedulehub_v3</v>
      </c>
      <c r="N71" t="str">
        <v>BATCH-0001</v>
      </c>
      <c r="O71" t="str">
        <v/>
      </c>
      <c r="P71" t="str">
        <v>p-0004</v>
      </c>
      <c r="Q71" t="str">
        <v>dmitri volkov</v>
      </c>
      <c r="R71">
        <v>1</v>
      </c>
      <c r="S71" t="str">
        <v>synced</v>
      </c>
      <c r="T71" t="str">
        <v>2026-03-01T08:00:00Z</v>
      </c>
      <c r="U71" t="str">
        <v>fixture</v>
      </c>
      <c r="V71" t="str">
        <v/>
      </c>
      <c r="W71" t="str">
        <v>FALSE</v>
      </c>
      <c r="X71" t="str">
        <v>MF-SRC-SCHEDULEHUB-V3</v>
      </c>
      <c r="Y71">
        <v>2</v>
      </c>
    </row>
    <row r="72">
      <c r="A72" t="str">
        <v>SE-2026-04-13-P-0005</v>
      </c>
      <c r="B72" t="str">
        <v>P-0005</v>
      </c>
      <c r="C72" t="str">
        <v>Esi Mensah</v>
      </c>
      <c r="D72" t="str">
        <v>Late</v>
      </c>
      <c r="E72" t="str">
        <v>Operations</v>
      </c>
      <c r="F72" t="str">
        <v>2026-04-13</v>
      </c>
      <c r="G72" t="str">
        <v>Mon</v>
      </c>
      <c r="H72" t="str">
        <v/>
      </c>
      <c r="I72" t="str">
        <v/>
      </c>
      <c r="J72" t="str">
        <v/>
      </c>
      <c r="K72" t="str">
        <v/>
      </c>
      <c r="L72" t="str">
        <v>TRUE</v>
      </c>
      <c r="M72" t="str">
        <v>schedulehub_v3</v>
      </c>
      <c r="N72" t="str">
        <v>BATCH-0001</v>
      </c>
      <c r="O72" t="str">
        <v/>
      </c>
      <c r="P72" t="str">
        <v>p-0005</v>
      </c>
      <c r="Q72" t="str">
        <v>esi mensah</v>
      </c>
      <c r="R72">
        <v>1</v>
      </c>
      <c r="S72" t="str">
        <v>synced</v>
      </c>
      <c r="T72" t="str">
        <v>2026-03-01T08:00:00Z</v>
      </c>
      <c r="U72" t="str">
        <v>fixture</v>
      </c>
      <c r="V72" t="str">
        <v/>
      </c>
      <c r="W72" t="str">
        <v>FALSE</v>
      </c>
      <c r="X72" t="str">
        <v>MF-SRC-SCHEDULEHUB-V3</v>
      </c>
      <c r="Y72">
        <v>2</v>
      </c>
    </row>
    <row r="73">
      <c r="A73" t="str">
        <v>SE-2026-04-13-P-0006</v>
      </c>
      <c r="B73" t="str">
        <v>P-0006</v>
      </c>
      <c r="C73" t="str">
        <v>Farid Haddad</v>
      </c>
      <c r="D73" t="str">
        <v>Late</v>
      </c>
      <c r="E73" t="str">
        <v>Operations</v>
      </c>
      <c r="F73" t="str">
        <v>2026-04-13</v>
      </c>
      <c r="G73" t="str">
        <v>Mon</v>
      </c>
      <c r="H73" t="str">
        <v>12:00</v>
      </c>
      <c r="I73" t="str">
        <v>20:00</v>
      </c>
      <c r="J73" t="str">
        <v/>
      </c>
      <c r="K73" t="str">
        <v/>
      </c>
      <c r="L73" t="str">
        <v>FALSE</v>
      </c>
      <c r="M73" t="str">
        <v>schedulehub_v3</v>
      </c>
      <c r="N73" t="str">
        <v>BATCH-0001</v>
      </c>
      <c r="O73" t="str">
        <v/>
      </c>
      <c r="P73" t="str">
        <v>p-0006</v>
      </c>
      <c r="Q73" t="str">
        <v>farid haddad</v>
      </c>
      <c r="R73">
        <v>1</v>
      </c>
      <c r="S73" t="str">
        <v>synced</v>
      </c>
      <c r="T73" t="str">
        <v>2026-03-01T08:00:00Z</v>
      </c>
      <c r="U73" t="str">
        <v>fixture</v>
      </c>
      <c r="V73" t="str">
        <v/>
      </c>
      <c r="W73" t="str">
        <v>FALSE</v>
      </c>
      <c r="X73" t="str">
        <v>MF-SRC-SCHEDULEHUB-V3</v>
      </c>
      <c r="Y73">
        <v>2</v>
      </c>
    </row>
    <row r="74">
      <c r="A74" t="str">
        <v>SE-2026-04-14-P-0001</v>
      </c>
      <c r="B74" t="str">
        <v>P-0001</v>
      </c>
      <c r="C74" t="str">
        <v>Amara Okafor</v>
      </c>
      <c r="D74" t="str">
        <v>Early</v>
      </c>
      <c r="E74" t="str">
        <v>Operations</v>
      </c>
      <c r="F74" t="str">
        <v>2026-04-14</v>
      </c>
      <c r="G74" t="str">
        <v>Tue</v>
      </c>
      <c r="H74" t="str">
        <v/>
      </c>
      <c r="I74" t="str">
        <v/>
      </c>
      <c r="J74" t="str">
        <v/>
      </c>
      <c r="K74" t="str">
        <v/>
      </c>
      <c r="L74" t="str">
        <v>TRUE</v>
      </c>
      <c r="M74" t="str">
        <v>schedulehub_v3</v>
      </c>
      <c r="N74" t="str">
        <v>BATCH-0001</v>
      </c>
      <c r="O74" t="str">
        <v/>
      </c>
      <c r="P74" t="str">
        <v>p-0001</v>
      </c>
      <c r="Q74" t="str">
        <v>amara okafor</v>
      </c>
      <c r="R74">
        <v>1</v>
      </c>
      <c r="S74" t="str">
        <v>synced</v>
      </c>
      <c r="T74" t="str">
        <v>2026-03-01T08:00:00Z</v>
      </c>
      <c r="U74" t="str">
        <v>fixture</v>
      </c>
      <c r="V74" t="str">
        <v/>
      </c>
      <c r="W74" t="str">
        <v>FALSE</v>
      </c>
      <c r="X74" t="str">
        <v>MF-SRC-SCHEDULEHUB-V3</v>
      </c>
      <c r="Y74">
        <v>2</v>
      </c>
    </row>
    <row r="75">
      <c r="A75" t="str">
        <v>SE-2026-04-14-P-0002</v>
      </c>
      <c r="B75" t="str">
        <v>P-0002</v>
      </c>
      <c r="C75" t="str">
        <v>Ben Sorensen</v>
      </c>
      <c r="D75" t="str">
        <v>Early</v>
      </c>
      <c r="E75" t="str">
        <v>Operations</v>
      </c>
      <c r="F75" t="str">
        <v>2026-04-14</v>
      </c>
      <c r="G75" t="str">
        <v>Tue</v>
      </c>
      <c r="H75" t="str">
        <v>07:00</v>
      </c>
      <c r="I75" t="str">
        <v>15:00</v>
      </c>
      <c r="J75" t="str">
        <v/>
      </c>
      <c r="K75" t="str">
        <v/>
      </c>
      <c r="L75" t="str">
        <v>FALSE</v>
      </c>
      <c r="M75" t="str">
        <v>schedulehub_v3</v>
      </c>
      <c r="N75" t="str">
        <v>BATCH-0001</v>
      </c>
      <c r="O75" t="str">
        <v/>
      </c>
      <c r="P75" t="str">
        <v>p-0002</v>
      </c>
      <c r="Q75" t="str">
        <v>ben sorensen</v>
      </c>
      <c r="R75">
        <v>1</v>
      </c>
      <c r="S75" t="str">
        <v>synced</v>
      </c>
      <c r="T75" t="str">
        <v>2026-03-01T08:00:00Z</v>
      </c>
      <c r="U75" t="str">
        <v>fixture</v>
      </c>
      <c r="V75" t="str">
        <v/>
      </c>
      <c r="W75" t="str">
        <v>FALSE</v>
      </c>
      <c r="X75" t="str">
        <v>MF-SRC-SCHEDULEHUB-V3</v>
      </c>
      <c r="Y75">
        <v>2</v>
      </c>
    </row>
    <row r="76">
      <c r="A76" t="str">
        <v>SE-2026-04-14-P-0003</v>
      </c>
      <c r="B76" t="str">
        <v>P-0003</v>
      </c>
      <c r="C76" t="str">
        <v>Chloe Duarte</v>
      </c>
      <c r="D76" t="str">
        <v>Early</v>
      </c>
      <c r="E76" t="str">
        <v>Operations</v>
      </c>
      <c r="F76" t="str">
        <v>2026-04-14</v>
      </c>
      <c r="G76" t="str">
        <v>Tue</v>
      </c>
      <c r="H76" t="str">
        <v>07:00</v>
      </c>
      <c r="I76" t="str">
        <v>15:00</v>
      </c>
      <c r="J76" t="str">
        <v/>
      </c>
      <c r="K76" t="str">
        <v/>
      </c>
      <c r="L76" t="str">
        <v>FALSE</v>
      </c>
      <c r="M76" t="str">
        <v>schedulehub_v3</v>
      </c>
      <c r="N76" t="str">
        <v>BATCH-0001</v>
      </c>
      <c r="O76" t="str">
        <v/>
      </c>
      <c r="P76" t="str">
        <v>p-0003</v>
      </c>
      <c r="Q76" t="str">
        <v>chloe duarte</v>
      </c>
      <c r="R76">
        <v>1</v>
      </c>
      <c r="S76" t="str">
        <v>synced</v>
      </c>
      <c r="T76" t="str">
        <v>2026-03-01T08:00:00Z</v>
      </c>
      <c r="U76" t="str">
        <v>fixture</v>
      </c>
      <c r="V76" t="str">
        <v/>
      </c>
      <c r="W76" t="str">
        <v>FALSE</v>
      </c>
      <c r="X76" t="str">
        <v>MF-SRC-SCHEDULEHUB-V3</v>
      </c>
      <c r="Y76">
        <v>2</v>
      </c>
    </row>
    <row r="77">
      <c r="A77" t="str">
        <v>SE-2026-04-14-P-0004</v>
      </c>
      <c r="B77" t="str">
        <v>P-0004</v>
      </c>
      <c r="C77" t="str">
        <v>Dmitri Volkov</v>
      </c>
      <c r="D77" t="str">
        <v>Late</v>
      </c>
      <c r="E77" t="str">
        <v>Operations</v>
      </c>
      <c r="F77" t="str">
        <v>2026-04-14</v>
      </c>
      <c r="G77" t="str">
        <v>Tue</v>
      </c>
      <c r="H77" t="str">
        <v>12:00</v>
      </c>
      <c r="I77" t="str">
        <v>20:00</v>
      </c>
      <c r="J77" t="str">
        <v/>
      </c>
      <c r="K77" t="str">
        <v/>
      </c>
      <c r="L77" t="str">
        <v>FALSE</v>
      </c>
      <c r="M77" t="str">
        <v>schedulehub_v3</v>
      </c>
      <c r="N77" t="str">
        <v>BATCH-0001</v>
      </c>
      <c r="O77" t="str">
        <v/>
      </c>
      <c r="P77" t="str">
        <v>p-0004</v>
      </c>
      <c r="Q77" t="str">
        <v>dmitri volkov</v>
      </c>
      <c r="R77">
        <v>1</v>
      </c>
      <c r="S77" t="str">
        <v>synced</v>
      </c>
      <c r="T77" t="str">
        <v>2026-03-01T08:00:00Z</v>
      </c>
      <c r="U77" t="str">
        <v>fixture</v>
      </c>
      <c r="V77" t="str">
        <v/>
      </c>
      <c r="W77" t="str">
        <v>FALSE</v>
      </c>
      <c r="X77" t="str">
        <v>MF-SRC-SCHEDULEHUB-V3</v>
      </c>
      <c r="Y77">
        <v>2</v>
      </c>
    </row>
    <row r="78">
      <c r="A78" t="str">
        <v>SE-2026-04-14-P-0005</v>
      </c>
      <c r="B78" t="str">
        <v>P-0005</v>
      </c>
      <c r="C78" t="str">
        <v>Esi Mensah</v>
      </c>
      <c r="D78" t="str">
        <v>Late</v>
      </c>
      <c r="E78" t="str">
        <v>Operations</v>
      </c>
      <c r="F78" t="str">
        <v>2026-04-14</v>
      </c>
      <c r="G78" t="str">
        <v>Tue</v>
      </c>
      <c r="H78" t="str">
        <v/>
      </c>
      <c r="I78" t="str">
        <v/>
      </c>
      <c r="J78" t="str">
        <v/>
      </c>
      <c r="K78" t="str">
        <v/>
      </c>
      <c r="L78" t="str">
        <v>TRUE</v>
      </c>
      <c r="M78" t="str">
        <v>schedulehub_v3</v>
      </c>
      <c r="N78" t="str">
        <v>BATCH-0001</v>
      </c>
      <c r="O78" t="str">
        <v/>
      </c>
      <c r="P78" t="str">
        <v>p-0005</v>
      </c>
      <c r="Q78" t="str">
        <v>esi mensah</v>
      </c>
      <c r="R78">
        <v>1</v>
      </c>
      <c r="S78" t="str">
        <v>synced</v>
      </c>
      <c r="T78" t="str">
        <v>2026-03-01T08:00:00Z</v>
      </c>
      <c r="U78" t="str">
        <v>fixture</v>
      </c>
      <c r="V78" t="str">
        <v/>
      </c>
      <c r="W78" t="str">
        <v>FALSE</v>
      </c>
      <c r="X78" t="str">
        <v>MF-SRC-SCHEDULEHUB-V3</v>
      </c>
      <c r="Y78">
        <v>2</v>
      </c>
    </row>
    <row r="79">
      <c r="A79" t="str">
        <v>SE-2026-04-14-P-0006</v>
      </c>
      <c r="B79" t="str">
        <v>P-0006</v>
      </c>
      <c r="C79" t="str">
        <v>Farid Haddad</v>
      </c>
      <c r="D79" t="str">
        <v>Late</v>
      </c>
      <c r="E79" t="str">
        <v>Operations</v>
      </c>
      <c r="F79" t="str">
        <v>2026-04-14</v>
      </c>
      <c r="G79" t="str">
        <v>Tue</v>
      </c>
      <c r="H79" t="str">
        <v>12:00</v>
      </c>
      <c r="I79" t="str">
        <v>20:00</v>
      </c>
      <c r="J79" t="str">
        <v/>
      </c>
      <c r="K79" t="str">
        <v/>
      </c>
      <c r="L79" t="str">
        <v>FALSE</v>
      </c>
      <c r="M79" t="str">
        <v>schedulehub_v3</v>
      </c>
      <c r="N79" t="str">
        <v>BATCH-0001</v>
      </c>
      <c r="O79" t="str">
        <v/>
      </c>
      <c r="P79" t="str">
        <v>p-0006</v>
      </c>
      <c r="Q79" t="str">
        <v>farid haddad</v>
      </c>
      <c r="R79">
        <v>1</v>
      </c>
      <c r="S79" t="str">
        <v>synced</v>
      </c>
      <c r="T79" t="str">
        <v>2026-03-01T08:00:00Z</v>
      </c>
      <c r="U79" t="str">
        <v>fixture</v>
      </c>
      <c r="V79" t="str">
        <v/>
      </c>
      <c r="W79" t="str">
        <v>FALSE</v>
      </c>
      <c r="X79" t="str">
        <v>MF-SRC-SCHEDULEHUB-V3</v>
      </c>
      <c r="Y79">
        <v>2</v>
      </c>
    </row>
    <row r="80">
      <c r="A80" t="str">
        <v>SE-2026-04-15-P-0001</v>
      </c>
      <c r="B80" t="str">
        <v>P-0001</v>
      </c>
      <c r="C80" t="str">
        <v>Amara Okafor</v>
      </c>
      <c r="D80" t="str">
        <v>Early</v>
      </c>
      <c r="E80" t="str">
        <v>Operations</v>
      </c>
      <c r="F80" t="str">
        <v>2026-04-15</v>
      </c>
      <c r="G80" t="str">
        <v>Wed</v>
      </c>
      <c r="H80" t="str">
        <v/>
      </c>
      <c r="I80" t="str">
        <v/>
      </c>
      <c r="J80" t="str">
        <v/>
      </c>
      <c r="K80" t="str">
        <v/>
      </c>
      <c r="L80" t="str">
        <v>TRUE</v>
      </c>
      <c r="M80" t="str">
        <v>schedulehub_v3</v>
      </c>
      <c r="N80" t="str">
        <v>BATCH-0001</v>
      </c>
      <c r="O80" t="str">
        <v/>
      </c>
      <c r="P80" t="str">
        <v>p-0001</v>
      </c>
      <c r="Q80" t="str">
        <v>amara okafor</v>
      </c>
      <c r="R80">
        <v>1</v>
      </c>
      <c r="S80" t="str">
        <v>synced</v>
      </c>
      <c r="T80" t="str">
        <v>2026-03-01T08:00:00Z</v>
      </c>
      <c r="U80" t="str">
        <v>fixture</v>
      </c>
      <c r="V80" t="str">
        <v/>
      </c>
      <c r="W80" t="str">
        <v>FALSE</v>
      </c>
      <c r="X80" t="str">
        <v>MF-SRC-SCHEDULEHUB-V3</v>
      </c>
      <c r="Y80">
        <v>2</v>
      </c>
    </row>
    <row r="81">
      <c r="A81" t="str">
        <v>SE-2026-04-15-P-0002</v>
      </c>
      <c r="B81" t="str">
        <v>P-0002</v>
      </c>
      <c r="C81" t="str">
        <v>Ben Sorensen</v>
      </c>
      <c r="D81" t="str">
        <v>Early</v>
      </c>
      <c r="E81" t="str">
        <v>Operations</v>
      </c>
      <c r="F81" t="str">
        <v>2026-04-15</v>
      </c>
      <c r="G81" t="str">
        <v>Wed</v>
      </c>
      <c r="H81" t="str">
        <v>07:00</v>
      </c>
      <c r="I81" t="str">
        <v>15:00</v>
      </c>
      <c r="J81" t="str">
        <v/>
      </c>
      <c r="K81" t="str">
        <v/>
      </c>
      <c r="L81" t="str">
        <v>FALSE</v>
      </c>
      <c r="M81" t="str">
        <v>schedulehub_v3</v>
      </c>
      <c r="N81" t="str">
        <v>BATCH-0001</v>
      </c>
      <c r="O81" t="str">
        <v/>
      </c>
      <c r="P81" t="str">
        <v>p-0002</v>
      </c>
      <c r="Q81" t="str">
        <v>ben sorensen</v>
      </c>
      <c r="R81">
        <v>1</v>
      </c>
      <c r="S81" t="str">
        <v>synced</v>
      </c>
      <c r="T81" t="str">
        <v>2026-03-01T08:00:00Z</v>
      </c>
      <c r="U81" t="str">
        <v>fixture</v>
      </c>
      <c r="V81" t="str">
        <v/>
      </c>
      <c r="W81" t="str">
        <v>FALSE</v>
      </c>
      <c r="X81" t="str">
        <v>MF-SRC-SCHEDULEHUB-V3</v>
      </c>
      <c r="Y81">
        <v>2</v>
      </c>
    </row>
    <row r="82">
      <c r="A82" t="str">
        <v>SE-2026-04-15-P-0003</v>
      </c>
      <c r="B82" t="str">
        <v>P-0003</v>
      </c>
      <c r="C82" t="str">
        <v>Chloe Duarte</v>
      </c>
      <c r="D82" t="str">
        <v>Early</v>
      </c>
      <c r="E82" t="str">
        <v>Operations</v>
      </c>
      <c r="F82" t="str">
        <v>2026-04-15</v>
      </c>
      <c r="G82" t="str">
        <v>Wed</v>
      </c>
      <c r="H82" t="str">
        <v>07:00</v>
      </c>
      <c r="I82" t="str">
        <v>15:00</v>
      </c>
      <c r="J82" t="str">
        <v/>
      </c>
      <c r="K82" t="str">
        <v/>
      </c>
      <c r="L82" t="str">
        <v>FALSE</v>
      </c>
      <c r="M82" t="str">
        <v>schedulehub_v3</v>
      </c>
      <c r="N82" t="str">
        <v>BATCH-0001</v>
      </c>
      <c r="O82" t="str">
        <v/>
      </c>
      <c r="P82" t="str">
        <v>p-0003</v>
      </c>
      <c r="Q82" t="str">
        <v>chloe duarte</v>
      </c>
      <c r="R82">
        <v>1</v>
      </c>
      <c r="S82" t="str">
        <v>synced</v>
      </c>
      <c r="T82" t="str">
        <v>2026-03-01T08:00:00Z</v>
      </c>
      <c r="U82" t="str">
        <v>fixture</v>
      </c>
      <c r="V82" t="str">
        <v/>
      </c>
      <c r="W82" t="str">
        <v>FALSE</v>
      </c>
      <c r="X82" t="str">
        <v>MF-SRC-SCHEDULEHUB-V3</v>
      </c>
      <c r="Y82">
        <v>2</v>
      </c>
    </row>
    <row r="83">
      <c r="A83" t="str">
        <v>SE-2026-04-15-P-0004</v>
      </c>
      <c r="B83" t="str">
        <v>P-0004</v>
      </c>
      <c r="C83" t="str">
        <v>Dmitri Volkov</v>
      </c>
      <c r="D83" t="str">
        <v>Late</v>
      </c>
      <c r="E83" t="str">
        <v>Operations</v>
      </c>
      <c r="F83" t="str">
        <v>2026-04-15</v>
      </c>
      <c r="G83" t="str">
        <v>Wed</v>
      </c>
      <c r="H83" t="str">
        <v/>
      </c>
      <c r="I83" t="str">
        <v/>
      </c>
      <c r="J83" t="str">
        <v/>
      </c>
      <c r="K83" t="str">
        <v/>
      </c>
      <c r="L83" t="str">
        <v>TRUE</v>
      </c>
      <c r="M83" t="str">
        <v>schedulehub_v3</v>
      </c>
      <c r="N83" t="str">
        <v>BATCH-0001</v>
      </c>
      <c r="O83" t="str">
        <v/>
      </c>
      <c r="P83" t="str">
        <v>p-0004</v>
      </c>
      <c r="Q83" t="str">
        <v>dmitri volkov</v>
      </c>
      <c r="R83">
        <v>1</v>
      </c>
      <c r="S83" t="str">
        <v>synced</v>
      </c>
      <c r="T83" t="str">
        <v>2026-03-01T08:00:00Z</v>
      </c>
      <c r="U83" t="str">
        <v>fixture</v>
      </c>
      <c r="V83" t="str">
        <v/>
      </c>
      <c r="W83" t="str">
        <v>FALSE</v>
      </c>
      <c r="X83" t="str">
        <v>MF-SRC-SCHEDULEHUB-V3</v>
      </c>
      <c r="Y83">
        <v>2</v>
      </c>
    </row>
    <row r="84">
      <c r="A84" t="str">
        <v>SE-2026-04-15-P-0005</v>
      </c>
      <c r="B84" t="str">
        <v>P-0005</v>
      </c>
      <c r="C84" t="str">
        <v>Esi Mensah</v>
      </c>
      <c r="D84" t="str">
        <v>Late</v>
      </c>
      <c r="E84" t="str">
        <v>Operations</v>
      </c>
      <c r="F84" t="str">
        <v>2026-04-15</v>
      </c>
      <c r="G84" t="str">
        <v>Wed</v>
      </c>
      <c r="H84" t="str">
        <v>12:00</v>
      </c>
      <c r="I84" t="str">
        <v>20:00</v>
      </c>
      <c r="J84" t="str">
        <v/>
      </c>
      <c r="K84" t="str">
        <v/>
      </c>
      <c r="L84" t="str">
        <v>FALSE</v>
      </c>
      <c r="M84" t="str">
        <v>schedulehub_v3</v>
      </c>
      <c r="N84" t="str">
        <v>BATCH-0001</v>
      </c>
      <c r="O84" t="str">
        <v/>
      </c>
      <c r="P84" t="str">
        <v>p-0005</v>
      </c>
      <c r="Q84" t="str">
        <v>esi mensah</v>
      </c>
      <c r="R84">
        <v>1</v>
      </c>
      <c r="S84" t="str">
        <v>synced</v>
      </c>
      <c r="T84" t="str">
        <v>2026-03-01T08:00:00Z</v>
      </c>
      <c r="U84" t="str">
        <v>fixture</v>
      </c>
      <c r="V84" t="str">
        <v/>
      </c>
      <c r="W84" t="str">
        <v>FALSE</v>
      </c>
      <c r="X84" t="str">
        <v>MF-SRC-SCHEDULEHUB-V3</v>
      </c>
      <c r="Y84">
        <v>2</v>
      </c>
    </row>
    <row r="85">
      <c r="A85" t="str">
        <v>SE-2026-04-15-P-0006</v>
      </c>
      <c r="B85" t="str">
        <v>P-0006</v>
      </c>
      <c r="C85" t="str">
        <v>Farid Haddad</v>
      </c>
      <c r="D85" t="str">
        <v>Late</v>
      </c>
      <c r="E85" t="str">
        <v>Operations</v>
      </c>
      <c r="F85" t="str">
        <v>2026-04-15</v>
      </c>
      <c r="G85" t="str">
        <v>Wed</v>
      </c>
      <c r="H85" t="str">
        <v>12:00</v>
      </c>
      <c r="I85" t="str">
        <v>20:00</v>
      </c>
      <c r="J85" t="str">
        <v/>
      </c>
      <c r="K85" t="str">
        <v/>
      </c>
      <c r="L85" t="str">
        <v>FALSE</v>
      </c>
      <c r="M85" t="str">
        <v>schedulehub_v3</v>
      </c>
      <c r="N85" t="str">
        <v>BATCH-0001</v>
      </c>
      <c r="O85" t="str">
        <v/>
      </c>
      <c r="P85" t="str">
        <v>p-0006</v>
      </c>
      <c r="Q85" t="str">
        <v>farid haddad</v>
      </c>
      <c r="R85">
        <v>1</v>
      </c>
      <c r="S85" t="str">
        <v>synced</v>
      </c>
      <c r="T85" t="str">
        <v>2026-03-01T08:00:00Z</v>
      </c>
      <c r="U85" t="str">
        <v>fixture</v>
      </c>
      <c r="V85" t="str">
        <v/>
      </c>
      <c r="W85" t="str">
        <v>FALSE</v>
      </c>
      <c r="X85" t="str">
        <v>MF-SRC-SCHEDULEHUB-V3</v>
      </c>
      <c r="Y85">
        <v>2</v>
      </c>
    </row>
  </sheetData>
  <pageMargins left="0.7" right="0.7" top="0.75" bottom="0.75" header="0.3" footer="0.3"/>
  <ignoredErrors>
    <ignoredError numberStoredAsText="1" sqref="A1:Y85"/>
  </ignoredErrors>
</worksheet>
</file>

<file path=xl/worksheets/sheet8.xml><?xml version="1.0" encoding="utf-8"?>
<worksheet xmlns="http://schemas.openxmlformats.org/spreadsheetml/2006/main" xmlns:r="http://schemas.openxmlformats.org/officeDocument/2006/relationships">
  <dimension ref="A1:E6"/>
  <sheetViews>
    <sheetView workbookViewId="0" rightToLeft="0"/>
  </sheetViews>
  <sheetData>
    <row r="1">
      <c r="A1" t="str">
        <v>source_id</v>
      </c>
      <c r="B1" t="str">
        <v>source_name</v>
      </c>
      <c r="C1" t="str">
        <v>authority_rank</v>
      </c>
      <c r="D1" t="str">
        <v>source_type</v>
      </c>
      <c r="E1" t="str">
        <v>notes</v>
      </c>
    </row>
    <row r="2">
      <c r="A2" t="str">
        <v>MF-SRC-PEOPLEHUB-V3</v>
      </c>
      <c r="B2" t="str">
        <v>PeopleHub canonical identity</v>
      </c>
      <c r="C2">
        <v>1</v>
      </c>
      <c r="D2" t="str">
        <v>hub</v>
      </c>
      <c r="E2" t="str">
        <v>identity + org</v>
      </c>
    </row>
    <row r="3">
      <c r="A3" t="str">
        <v>MF-SRC-SCHEDULEHUB-V3</v>
      </c>
      <c r="B3" t="str">
        <v>ScheduleHub schedule-of-record</v>
      </c>
      <c r="C3">
        <v>1</v>
      </c>
      <c r="D3" t="str">
        <v>hub</v>
      </c>
      <c r="E3" t="str">
        <v>person-date schedule</v>
      </c>
    </row>
    <row r="4">
      <c r="A4" t="str">
        <v>MF-SRC-DEPTHUB-CCS-V3</v>
      </c>
      <c r="B4" t="str">
        <v>CCS-FNOL DepartmentHub</v>
      </c>
      <c r="C4">
        <v>2</v>
      </c>
      <c r="D4" t="str">
        <v>hub</v>
      </c>
      <c r="E4" t="str">
        <v>blueprint + rotation output</v>
      </c>
    </row>
    <row r="5">
      <c r="A5" t="str">
        <v>MF-SRC-CCS-LEGACY-IMPORT-V1</v>
      </c>
      <c r="B5" t="str">
        <v>Legacy claims hub import</v>
      </c>
      <c r="C5">
        <v>3</v>
      </c>
      <c r="D5" t="str">
        <v>import</v>
      </c>
      <c r="E5" t="str">
        <v>pre-v3 workbooks</v>
      </c>
    </row>
    <row r="6">
      <c r="A6" t="str">
        <v>MF-SRC-CCS-SYNTHETIC-TEST-V1</v>
      </c>
      <c r="B6" t="str">
        <v>Synthetic test fixtures</v>
      </c>
      <c r="C6">
        <v>10</v>
      </c>
      <c r="D6" t="str">
        <v>synthetic</v>
      </c>
      <c r="E6" t="str">
        <v>never outranks reviewed data</v>
      </c>
    </row>
  </sheetData>
  <pageMargins left="0.7" right="0.7" top="0.75" bottom="0.75" header="0.3" footer="0.3"/>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I2"/>
  <sheetViews>
    <sheetView workbookViewId="0" rightToLeft="0"/>
  </sheetViews>
  <sheetData>
    <row r="1">
      <c r="A1" t="str">
        <v>run_id</v>
      </c>
      <c r="B1" t="str">
        <v>run_utc</v>
      </c>
      <c r="C1" t="str">
        <v>app</v>
      </c>
      <c r="D1" t="str">
        <v>action</v>
      </c>
      <c r="E1" t="str">
        <v>table_name</v>
      </c>
      <c r="F1" t="str">
        <v>rows_written</v>
      </c>
      <c r="G1" t="str">
        <v>result</v>
      </c>
      <c r="H1" t="str">
        <v>flow_run_id</v>
      </c>
      <c r="I1" t="str">
        <v>notes</v>
      </c>
    </row>
    <row r="2">
      <c r="A2" t="str">
        <v>RUN-000001</v>
      </c>
      <c r="B2" t="str">
        <v>2026-07-19T00:00:00Z</v>
      </c>
      <c r="C2" t="str">
        <v>ssv3_builder</v>
      </c>
      <c r="D2" t="str">
        <v>generate</v>
      </c>
      <c r="E2" t="str">
        <v>ALL</v>
      </c>
      <c r="F2">
        <v>0</v>
      </c>
      <c r="G2" t="str">
        <v>OK</v>
      </c>
      <c r="H2" t="str">
        <v/>
      </c>
      <c r="I2" t="str">
        <v>initial build</v>
      </c>
    </row>
  </sheetData>
  <pageMargins left="0.7" right="0.7" top="0.75" bottom="0.75" header="0.3" footer="0.3"/>
  <ignoredErrors>
    <ignoredError numberStoredAsText="1" sqref="A1:I2"/>
  </ignoredErrors>
</worksheet>
</file>

<file path=xl/worksheets/sheet10.xml><?xml version="1.0" encoding="utf-8"?>
<worksheet xmlns="http://schemas.openxmlformats.org/spreadsheetml/2006/main" xmlns:r="http://schemas.openxmlformats.org/officeDocument/2006/relationships">
  <dimension ref="A1:B16"/>
  <sheetViews>
    <sheetView workbookViewId="0" rightToLeft="0"/>
  </sheetViews>
  <sheetData>
    <row r="1">
      <c r="A1" t="str">
        <v>key</v>
      </c>
      <c r="B1" t="str">
        <v>value</v>
      </c>
    </row>
    <row r="2">
      <c r="A2" t="str">
        <v>workbook_id</v>
      </c>
      <c r="B2" t="str">
        <v>WB-SCHEDULEHUB-V3</v>
      </c>
    </row>
    <row r="3">
      <c r="A3" t="str">
        <v>workbook_name</v>
      </c>
      <c r="B3" t="str">
        <v>ScheduleHub v3</v>
      </c>
    </row>
    <row r="4">
      <c r="A4" t="str">
        <v>contract_version</v>
      </c>
      <c r="B4" t="str">
        <v>3.1.0</v>
      </c>
    </row>
    <row r="5">
      <c r="A5" t="str">
        <v>visual_system</v>
      </c>
      <c r="B5" t="str">
        <v>SyncSheets v3.1 (v3 visual baseline)</v>
      </c>
    </row>
    <row r="6">
      <c r="A6" t="str">
        <v>identity_key</v>
      </c>
      <c r="B6" t="str">
        <v>person_id (immutable; external identifiers are aliases)</v>
      </c>
    </row>
    <row r="7">
      <c r="A7" t="str">
        <v>generated_utc</v>
      </c>
      <c r="B7">
        <v>46244</v>
      </c>
    </row>
    <row r="8">
      <c r="A8" t="str">
        <v>generator</v>
      </c>
      <c r="B8" t="str">
        <v>Sync v3.1 template pipeline</v>
      </c>
    </row>
    <row r="9">
      <c r="A9" t="str">
        <v>machine_header_row</v>
      </c>
      <c r="B9" t="str">
        <v>1</v>
      </c>
    </row>
    <row r="10">
      <c r="A10" t="str">
        <v>no_external_links</v>
      </c>
      <c r="B10" t="str">
        <v>TRUE</v>
      </c>
    </row>
    <row r="11">
      <c r="A11" t="str">
        <v>pack_contract</v>
      </c>
      <c r="B11" t="str">
        <v>syncsheets.pack-manifest/1</v>
      </c>
    </row>
    <row r="12">
      <c r="A12" t="str">
        <v>month_mode</v>
      </c>
      <c r="B12" t="str">
        <v>rolling-configurable-at-export</v>
      </c>
    </row>
    <row r="13">
      <c r="A13" t="str">
        <v>microsoft_targets</v>
      </c>
      <c r="B13" t="str">
        <v>Excel Desktop; SharePoint; Excel Online</v>
      </c>
    </row>
    <row r="14">
      <c r="A14" t="str">
        <v>link_mode</v>
      </c>
      <c r="B14" t="str">
        <v>value-backed hierarchy; SharePoint-ready</v>
      </c>
    </row>
    <row r="15">
      <c r="A15" t="str">
        <v>agent_scope</v>
      </c>
      <c r="B15" t="str">
        <v>role-scoped</v>
      </c>
    </row>
    <row r="16">
      <c r="A16" t="str">
        <v>private_detail_policy</v>
      </c>
      <c r="B16" t="str">
        <v>scope contract enforced</v>
      </c>
    </row>
  </sheetData>
  <pageMargins left="0.7" right="0.7" top="0.75" bottom="0.75" header="0.3" footer="0.3"/>
  <ignoredErrors>
    <ignoredError numberStoredAsText="1" sqref="A1:B16"/>
  </ignoredErrors>
</worksheet>
</file>

<file path=xl/worksheets/sheet11.xml><?xml version="1.0" encoding="utf-8"?>
<worksheet xmlns="http://schemas.openxmlformats.org/spreadsheetml/2006/main" xmlns:r="http://schemas.openxmlformats.org/officeDocument/2006/relationships">
  <dimension ref="A1:E2"/>
  <sheetViews>
    <sheetView workbookViewId="0" rightToLeft="0"/>
  </sheetViews>
  <sheetData>
    <row r="1">
      <c r="A1" t="str">
        <v>scenario_id</v>
      </c>
      <c r="B1" t="str">
        <v>family</v>
      </c>
      <c r="C1" t="str">
        <v>purpose</v>
      </c>
      <c r="D1" t="str">
        <v>record_count</v>
      </c>
      <c r="E1" t="str">
        <v>source_id</v>
      </c>
    </row>
  </sheetData>
  <pageMargins left="0.7" right="0.7" top="0.75" bottom="0.75" header="0.3" footer="0.3"/>
  <ignoredErrors>
    <ignoredError numberStoredAsText="1" sqref="A1:E2"/>
  </ignoredErrors>
</worksheet>
</file>

<file path=xl/worksheets/sheet12.xml><?xml version="1.0" encoding="utf-8"?>
<worksheet xmlns="http://schemas.openxmlformats.org/spreadsheetml/2006/main" xmlns:r="http://schemas.openxmlformats.org/officeDocument/2006/relationships">
  <dimension ref="A1:I8"/>
  <sheetViews>
    <sheetView workbookViewId="0" rightToLeft="0"/>
  </sheetViews>
  <sheetData>
    <row r="1">
      <c r="A1" t="str">
        <v>wish_tokens</v>
      </c>
      <c r="B1" t="str">
        <v>leave_types</v>
      </c>
      <c r="C1" t="str">
        <v>statuses</v>
      </c>
      <c r="D1" t="str">
        <v>sync_status</v>
      </c>
      <c r="E1" t="str">
        <v>role_types</v>
      </c>
      <c r="F1" t="str">
        <v>off_flags</v>
      </c>
      <c r="G1" t="str">
        <v>departments</v>
      </c>
      <c r="H1" t="str">
        <v>agents</v>
      </c>
      <c r="I1" t="str">
        <v>months</v>
      </c>
    </row>
    <row r="2">
      <c r="A2" t="str">
        <v>FULL OT</v>
      </c>
      <c r="B2" t="str">
        <v>Annual</v>
      </c>
      <c r="C2" t="str">
        <v>Pending</v>
      </c>
      <c r="D2" t="str">
        <v>Draft</v>
      </c>
      <c r="E2" t="str">
        <v>Agent</v>
      </c>
      <c r="F2" t="str">
        <v>TRUE</v>
      </c>
      <c r="G2" t="str">
        <v>CCS-FNOL</v>
      </c>
    </row>
    <row r="3">
      <c r="A3" t="str">
        <v>AM OT</v>
      </c>
      <c r="B3" t="str">
        <v>Sick</v>
      </c>
      <c r="C3" t="str">
        <v>Approved</v>
      </c>
      <c r="D3" t="str">
        <v>Ready</v>
      </c>
      <c r="E3" t="str">
        <v>Team Lead</v>
      </c>
      <c r="F3" t="str">
        <v>FALSE</v>
      </c>
      <c r="G3" t="str">
        <v>Case Handling</v>
      </c>
    </row>
    <row r="4">
      <c r="A4" t="str">
        <v>PM OT</v>
      </c>
      <c r="B4" t="str">
        <v>Family</v>
      </c>
      <c r="C4" t="str">
        <v>Declined</v>
      </c>
      <c r="D4" t="str">
        <v>Synced</v>
      </c>
      <c r="E4" t="str">
        <v>Supervisor</v>
      </c>
      <c r="G4" t="str">
        <v>Home Claims</v>
      </c>
    </row>
    <row r="5">
      <c r="A5" t="str">
        <v>MAYBE</v>
      </c>
      <c r="B5" t="str">
        <v>Study</v>
      </c>
      <c r="C5" t="str">
        <v>Cancelled</v>
      </c>
      <c r="D5" t="str">
        <v>Review</v>
      </c>
      <c r="E5" t="str">
        <v>CCL</v>
      </c>
      <c r="G5" t="str">
        <v>TPA</v>
      </c>
    </row>
    <row r="6">
      <c r="A6" t="str">
        <v>UNAVAILABLE</v>
      </c>
      <c r="B6" t="str">
        <v>Unpaid</v>
      </c>
      <c r="D6" t="str">
        <v>Conflict</v>
      </c>
      <c r="E6" t="str">
        <v>Manager</v>
      </c>
      <c r="G6" t="str">
        <v>TPPD-DC</v>
      </c>
    </row>
    <row r="7">
      <c r="B7" t="str">
        <v>Other</v>
      </c>
      <c r="D7" t="str">
        <v>Archived</v>
      </c>
      <c r="E7" t="str">
        <v>Support</v>
      </c>
      <c r="G7" t="str">
        <v>Messenger</v>
      </c>
    </row>
    <row r="8">
      <c r="E8" t="str">
        <v>YAT</v>
      </c>
    </row>
  </sheetData>
  <pageMargins left="0.7" right="0.7" top="0.75" bottom="0.75" header="0.3" footer="0.3"/>
  <ignoredErrors>
    <ignoredError numberStoredAsText="1" sqref="A1:I8"/>
  </ignoredErrors>
</worksheet>
</file>

<file path=xl/worksheets/sheet13.xml><?xml version="1.0" encoding="utf-8"?>
<worksheet xmlns="http://schemas.openxmlformats.org/spreadsheetml/2006/main" xmlns:r="http://schemas.openxmlformats.org/officeDocument/2006/relationships">
  <dimension ref="A1:H9"/>
  <sheetViews>
    <sheetView workbookViewId="0" rightToLeft="0"/>
  </sheetViews>
  <sheetData>
    <row r="1">
      <c r="A1" t="str">
        <v>PACK MANIFEST - SyncSheets v3.1</v>
      </c>
    </row>
    <row r="2">
      <c r="A2" t="str">
        <v>Generated by Sync. File relationships are identity- and manifest-backed; values publish through Sync or the approved SharePoint flow.</v>
      </c>
    </row>
    <row r="4">
      <c r="A4" t="str">
        <v>pack_id</v>
      </c>
      <c r="B4" t="str">
        <v>file_id</v>
      </c>
      <c r="C4" t="str">
        <v>workbook_kind</v>
      </c>
      <c r="D4" t="str">
        <v>department_id</v>
      </c>
      <c r="E4" t="str">
        <v>scope_id</v>
      </c>
      <c r="F4" t="str">
        <v>period_start</v>
      </c>
      <c r="G4" t="str">
        <v>period_end</v>
      </c>
      <c r="H4" t="str">
        <v>contract_version</v>
      </c>
    </row>
    <row r="5">
      <c r="A5" t="str">
        <v>assigned-at-export</v>
      </c>
      <c r="B5" t="str">
        <v>assigned-at-export</v>
      </c>
      <c r="C5" t="str">
        <v>template</v>
      </c>
      <c r="D5" t="str">
        <v/>
      </c>
      <c r="E5" t="str">
        <v/>
      </c>
      <c r="F5" t="str">
        <v/>
      </c>
      <c r="G5" t="str">
        <v/>
      </c>
      <c r="H5" t="str">
        <v>3.1.0</v>
      </c>
    </row>
    <row r="8">
      <c r="A8" t="str">
        <v>relationship_id</v>
      </c>
      <c r="B8" t="str">
        <v>from_file_id</v>
      </c>
      <c r="C8" t="str">
        <v>to_file_id</v>
      </c>
      <c r="D8" t="str">
        <v>record_family</v>
      </c>
      <c r="E8" t="str">
        <v>direction</v>
      </c>
      <c r="F8" t="str">
        <v>mechanism</v>
      </c>
      <c r="G8" t="str">
        <v>freshness</v>
      </c>
      <c r="H8" t="str">
        <v>notes</v>
      </c>
    </row>
    <row r="9">
      <c r="A9" t="str">
        <v>assigned-at-export</v>
      </c>
      <c r="B9" t="str">
        <v/>
      </c>
      <c r="C9" t="str">
        <v/>
      </c>
      <c r="D9" t="str">
        <v/>
      </c>
      <c r="E9" t="str">
        <v/>
      </c>
      <c r="F9" t="str">
        <v>Sync value publish</v>
      </c>
      <c r="G9" t="str">
        <v>Pending first publish</v>
      </c>
      <c r="H9" t="str">
        <v>No fragile cross-file formula dependency</v>
      </c>
    </row>
  </sheetData>
  <mergeCells count="2">
    <mergeCell ref="A1:H1"/>
    <mergeCell ref="A2:H2"/>
  </mergeCells>
  <pageMargins left="0.7" right="0.7" top="0.75" bottom="0.75" header="0.3" footer="0.3"/>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Dashboard</vt:lpstr>
      <vt:lpstr>theGuide</vt:lpstr>
      <vt:lpstr>Working Today</vt:lpstr>
      <vt:lpstr>Clean View</vt:lpstr>
      <vt:lpstr>Teams</vt:lpstr>
      <vt:lpstr>Import Batches</vt:lpstr>
      <vt:lpstr>Schedule_Data</vt:lpstr>
      <vt:lpstr>Sources</vt:lpstr>
      <vt:lpstr>Sync Log</vt:lpstr>
      <vt:lpstr>Workbook Meta</vt:lpstr>
      <vt:lpstr>Test Scenarios</vt:lpstr>
      <vt:lpstr>Lists</vt:lpstr>
      <vt:lpstr>Pack Manifest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