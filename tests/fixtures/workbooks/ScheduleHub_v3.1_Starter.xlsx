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cd141a5bc94c49" /></Relationships>
</file>

<file path=xl/workbook.xml><?xml version="1.0" encoding="utf-8"?>
<x:workbook xmlns:x="http://schemas.openxmlformats.org/spreadsheetml/2006/main">
  <x:sheets>
    <x:sheet xmlns:r="http://schemas.openxmlformats.org/officeDocument/2006/relationships" name="Dashboard" sheetId="1" r:id="R8ae1b36cc0114a05"/>
    <x:sheet xmlns:r="http://schemas.openxmlformats.org/officeDocument/2006/relationships" name="theGuide" sheetId="2" r:id="R20557f03d1d14464"/>
    <x:sheet xmlns:r="http://schemas.openxmlformats.org/officeDocument/2006/relationships" name="Working Today" sheetId="3" r:id="R96f2221f51bd4d14"/>
    <x:sheet xmlns:r="http://schemas.openxmlformats.org/officeDocument/2006/relationships" name="Clean View" sheetId="4" r:id="Ra2dcf746dd584f09"/>
    <x:sheet xmlns:r="http://schemas.openxmlformats.org/officeDocument/2006/relationships" name="Teams" sheetId="5" r:id="R50cef935aa624b00"/>
    <x:sheet xmlns:r="http://schemas.openxmlformats.org/officeDocument/2006/relationships" name="Import Batches" sheetId="6" r:id="R54ef8cf88264435f"/>
    <x:sheet xmlns:r="http://schemas.openxmlformats.org/officeDocument/2006/relationships" name="Schedule_Data" sheetId="7" r:id="R25ae5cf22a824dec"/>
    <x:sheet xmlns:r="http://schemas.openxmlformats.org/officeDocument/2006/relationships" name="Sources" sheetId="8" r:id="Rd3796bf03c5f45fb"/>
    <x:sheet xmlns:r="http://schemas.openxmlformats.org/officeDocument/2006/relationships" name="Sync Log" sheetId="9" r:id="R10a9c2dcd6c94749"/>
    <x:sheet xmlns:r="http://schemas.openxmlformats.org/officeDocument/2006/relationships" name="Workbook Meta" sheetId="10" r:id="Rc0f5cfa14831419d"/>
    <x:sheet xmlns:r="http://schemas.openxmlformats.org/officeDocument/2006/relationships" name="Test Scenarios" sheetId="11" r:id="R3f7e7932b13b448a"/>
    <x:sheet xmlns:r="http://schemas.openxmlformats.org/officeDocument/2006/relationships" name="Lists" sheetId="12" r:id="R83a5d6505172476c"/>
    <x:sheet xmlns:r="http://schemas.openxmlformats.org/officeDocument/2006/relationships" name="Pack Manifest" sheetId="13" r:id="R5d620369aaac4ea6"/>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color theme="1"/>
      <x:name val="Calibri"/>
    </x:font>
    <x:font>
      <x:b/>
      <x:sz val="14"/>
      <x:color rgb="FFFFFFFF"/>
      <x:name val="Aptos Display"/>
    </x:font>
    <x:font>
      <x:i/>
      <x:sz val="9"/>
      <x:color rgb="FFB7E4C7"/>
      <x:name val="Aptos"/>
    </x:font>
    <x:font>
      <x:b/>
      <x:sz val="18"/>
      <x:color rgb="FF1B4332"/>
      <x:name val="Aptos Display"/>
    </x:font>
    <x:font>
      <x:b/>
      <x:sz val="8"/>
      <x:color rgb="FF52796F"/>
      <x:name val="Aptos"/>
    </x:font>
    <x:font>
      <x:b/>
      <x:sz val="10"/>
      <x:color rgb="FFFFFFFF"/>
      <x:name val="Aptos Display"/>
    </x:font>
    <x:font>
      <x:sz val="9"/>
      <x:color rgb="FF1B2921"/>
      <x:name val="Aptos"/>
    </x:font>
    <x:font>
      <x:i/>
      <x:sz val="9"/>
      <x:color rgb="FF7A5C00"/>
      <x:name val="Aptos"/>
    </x:font>
    <x:font>
      <x:b/>
      <x:sz val="10"/>
      <x:color rgb="FF2D6A4F"/>
      <x:name val="Aptos Display"/>
    </x:font>
    <x:font>
      <x:b/>
      <x:sz val="11"/>
      <x:color rgb="FF2D6A4F"/>
      <x:name val="Aptos Display"/>
    </x:font>
    <x:font>
      <x:b/>
      <x:sz val="11"/>
      <x:color rgb="FF1B2921"/>
      <x:name val="Aptos"/>
    </x:font>
    <x:font>
      <x:b/>
      <x:sz val="11"/>
      <x:color rgb="FF1B4332"/>
      <x:name val="Aptos Display"/>
    </x:font>
    <x:font>
      <x:b/>
      <x:sz val="9"/>
      <x:color rgb="FF1B4332"/>
      <x:name val="Aptos"/>
    </x:font>
    <x:font>
      <x:b/>
      <x:sz val="9"/>
      <x:color rgb="FFFFFFFF"/>
      <x:name val="Aptos"/>
    </x:font>
    <x:font>
      <x:b/>
      <x:sz val="9"/>
      <x:color rgb="FF2D6A4F"/>
      <x:name val="Aptos"/>
    </x:font>
    <x:font>
      <x:sz val="9"/>
      <x:color rgb="FF7A5C00"/>
      <x:name val="Aptos"/>
    </x:font>
  </x:fonts>
  <x:fills count="11">
    <x:fill>
      <x:patternFill patternType="none"/>
    </x:fill>
    <x:fill>
      <x:patternFill patternType="gray125"/>
    </x:fill>
    <x:fill>
      <x:patternFill patternType="solid">
        <x:fgColor rgb="FF1B4332"/>
      </x:patternFill>
    </x:fill>
    <x:fill>
      <x:patternFill patternType="solid">
        <x:fgColor rgb="FFD8F3DC"/>
      </x:patternFill>
    </x:fill>
    <x:fill>
      <x:patternFill patternType="solid">
        <x:fgColor rgb="FF2D6A4F"/>
      </x:patternFill>
    </x:fill>
    <x:fill>
      <x:patternFill patternType="solid">
        <x:fgColor rgb="FFFDF6E3"/>
      </x:patternFill>
    </x:fill>
    <x:fill>
      <x:patternFill patternType="solid">
        <x:fgColor rgb="FFF4F9F4"/>
      </x:patternFill>
    </x:fill>
    <x:fill>
      <x:patternFill patternType="solid">
        <x:fgColor rgb="FF1B4332"/>
      </x:patternFill>
    </x:fill>
    <x:fill>
      <x:patternFill patternType="solid">
        <x:fgColor rgb="FF2D6A4F"/>
      </x:patternFill>
    </x:fill>
    <x:fill>
      <x:patternFill patternType="solid">
        <x:fgColor rgb="FFF7FBF8"/>
      </x:patternFill>
    </x:fill>
    <x:fill>
      <x:patternFill patternType="solid">
        <x:fgColor rgb="FFFDF6E3"/>
      </x:patternFill>
    </x:fill>
  </x:fills>
  <x:borders count="16">
    <x:border/>
    <x:border>
      <x:left style="thin">
        <x:color rgb="FFB7E4C7"/>
      </x:left>
      <x:right style="thin">
        <x:color rgb="FFB7E4C7"/>
      </x:right>
      <x:top style="thin">
        <x:color rgb="FFB7E4C7"/>
      </x:top>
      <x:bottom style="thin">
        <x:color rgb="FFB7E4C7"/>
      </x:bottom>
    </x:border>
    <x:border>
      <x:left style="thin">
        <x:color rgb="FFCCE3D5"/>
      </x:left>
      <x:right style="thin">
        <x:color rgb="FFCCE3D5"/>
      </x:right>
      <x:top style="thin">
        <x:color rgb="FFCCE3D5"/>
      </x:top>
      <x:bottom style="thin">
        <x:color rgb="FFCCE3D5"/>
      </x:bottom>
    </x:border>
    <x:border>
      <x:left style="thin">
        <x:color rgb="FF2D6A4F"/>
      </x:left>
      <x:right style="thin">
        <x:color rgb="FF2D6A4F"/>
      </x:right>
      <x:top style="thin">
        <x:color rgb="FF2D6A4F"/>
      </x:top>
      <x:bottom style="thin">
        <x:color rgb="FF2D6A4F"/>
      </x:bottom>
    </x:border>
    <x:border>
      <x:right style="thin">
        <x:color rgb="FFD8F3DC"/>
      </x:right>
      <x:bottom style="thin">
        <x:color rgb="FFD8F3DC"/>
      </x:bottom>
    </x:border>
    <x:border>
      <x:left style="thin">
        <x:color rgb="FFD8F3DC"/>
      </x:left>
      <x:bottom style="thin">
        <x:color rgb="FFD8F3DC"/>
      </x:bottom>
    </x:border>
    <x:border>
      <x:right style="thin">
        <x:color rgb="FFD8F3DC"/>
      </x:right>
      <x:top style="thin">
        <x:color rgb="FFD8F3DC"/>
      </x:top>
      <x:bottom style="thin">
        <x:color rgb="FFD8F3DC"/>
      </x:bottom>
    </x:border>
    <x:border>
      <x:left style="thin">
        <x:color rgb="FFD8F3DC"/>
      </x:left>
      <x:top style="thin">
        <x:color rgb="FFD8F3DC"/>
      </x:top>
      <x:bottom style="thin">
        <x:color rgb="FFD8F3DC"/>
      </x:bottom>
    </x:border>
    <x:border>
      <x:right style="thin">
        <x:color rgb="FFD8F3DC"/>
      </x:right>
      <x:top style="thin">
        <x:color rgb="FFD8F3DC"/>
      </x:top>
    </x:border>
    <x:border>
      <x:left style="thin">
        <x:color rgb="FFD8F3DC"/>
      </x:left>
      <x:top style="thin">
        <x:color rgb="FFD8F3DC"/>
      </x:top>
    </x:border>
    <x:border>
      <x:right style="thin">
        <x:color rgb="FFD8F3DC"/>
      </x:right>
    </x:border>
    <x:border>
      <x:left style="thin">
        <x:color rgb="FFD8F3DC"/>
      </x:left>
      <x:right style="thin">
        <x:color rgb="FFD8F3DC"/>
      </x:right>
    </x:border>
    <x:border>
      <x:left style="thin">
        <x:color rgb="FFD8F3DC"/>
      </x:left>
    </x:border>
    <x:border>
      <x:right style="thin">
        <x:color rgb="FFE8D9A7"/>
      </x:right>
    </x:border>
    <x:border>
      <x:left style="thin">
        <x:color rgb="FFE8D9A7"/>
      </x:left>
      <x:right style="thin">
        <x:color rgb="FFE8D9A7"/>
      </x:right>
    </x:border>
    <x:border>
      <x:left style="thin">
        <x:color rgb="FFE8D9A7"/>
      </x:left>
    </x:border>
  </x:borders>
  <x:cellStyleXfs count="1">
    <x:xf numFmtId="0" fontId="0" fillId="0" borderId="0"/>
  </x:cellStyleXfs>
  <x:cellXfs count="50">
    <x:xf numFmtId="0" fontId="0" fillId="0" borderId="0" xfId="0"/>
    <x:xf numFmtId="0" fontId="1" fillId="2" borderId="0" xfId="0" applyAlignment="1">
      <x:alignment vertical="center"/>
    </x:xf>
    <x:xf numFmtId="0" fontId="0" fillId="2" borderId="0" xfId="0"/>
    <x:xf numFmtId="0" fontId="2" fillId="2" borderId="0" xfId="0" applyAlignment="1">
      <x:alignment vertical="center"/>
    </x:xf>
    <x:xf numFmtId="0" fontId="3" fillId="3" borderId="1" xfId="0" applyAlignment="1">
      <x:alignment horizontal="center" vertical="center"/>
    </x:xf>
    <x:xf numFmtId="0" fontId="0" fillId="3" borderId="1" xfId="0"/>
    <x:xf numFmtId="0" fontId="4" fillId="3" borderId="1" xfId="0" applyAlignment="1">
      <x:alignment horizontal="center" vertical="top"/>
    </x:xf>
    <x:xf numFmtId="0" fontId="5" fillId="4" borderId="0" xfId="0" applyAlignment="1">
      <x:alignment vertical="center"/>
    </x:xf>
    <x:xf numFmtId="0" fontId="0" fillId="4" borderId="0" xfId="0"/>
    <x:xf numFmtId="0" fontId="6" fillId="0" borderId="0" xfId="0"/>
    <x:xf numFmtId="0" fontId="7" fillId="5" borderId="0" xfId="0" applyAlignment="1">
      <x:alignment vertical="center" wrapText="1"/>
    </x:xf>
    <x:xf numFmtId="0" fontId="0" fillId="5" borderId="0" xfId="0"/>
    <x:xf numFmtId="0" fontId="8" fillId="0" borderId="0" xfId="0"/>
    <x:xf numFmtId="0" fontId="6" fillId="0" borderId="0" xfId="0" applyAlignment="1">
      <x:alignment vertical="top" wrapText="1"/>
    </x:xf>
    <x:xf numFmtId="0" fontId="9" fillId="0" borderId="0" xfId="0"/>
    <x:xf numFmtId="0" fontId="10" fillId="3" borderId="1" xfId="0"/>
    <x:xf numFmtId="0" fontId="11" fillId="0" borderId="0" xfId="0"/>
    <x:xf numFmtId="0" fontId="12" fillId="3" borderId="1" xfId="0"/>
    <x:xf numFmtId="0" fontId="6" fillId="0" borderId="2" xfId="0"/>
    <x:xf numFmtId="0" fontId="13" fillId="4" borderId="3" xfId="0" applyAlignment="1">
      <x:alignment vertical="center"/>
    </x:xf>
    <x:xf numFmtId="0" fontId="6" fillId="6" borderId="2" xfId="0"/>
    <x:xf numFmtId="0" fontId="13" fillId="4" borderId="0" xfId="0"/>
    <x:xf numFmtId="0" fontId="6" fillId="0" borderId="0"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14" fillId="0" borderId="4" xfId="0" applyNumberFormat="1" applyFont="1" applyFill="1" applyBorder="1"/>
    <x:xf numFmtId="0" fontId="14" fillId="0" borderId="6" xfId="0" applyNumberFormat="1" applyFont="1" applyFill="1" applyBorder="1"/>
    <x:xf numFmtId="0" fontId="14" fillId="0" borderId="8"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2" fillId="7" borderId="0" xfId="0" applyNumberFormat="1" applyFont="1" applyFill="1" applyBorder="1"/>
    <x:xf numFmtId="0" fontId="0" fillId="8" borderId="0"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wrapText="1"/>
    </x:xf>
    <x:xf numFmtId="0" fontId="0" fillId="9" borderId="0" xfId="0" applyNumberFormat="1" applyFont="1" applyFill="1" applyBorder="1"/>
    <x:xf numFmtId="0" fontId="6" fillId="9" borderId="0" xfId="0" applyNumberFormat="1" applyFont="1" applyFill="1" applyBorder="1"/>
    <x:xf numFmtId="0" fontId="6" fillId="9" borderId="10" xfId="0" applyNumberFormat="1" applyFont="1" applyFill="1" applyBorder="1"/>
    <x:xf numFmtId="0" fontId="6" fillId="9" borderId="11" xfId="0" applyNumberFormat="1" applyFont="1" applyFill="1" applyBorder="1"/>
    <x:xf numFmtId="0" fontId="6" fillId="9" borderId="12" xfId="0" applyNumberFormat="1" applyFont="1" applyFill="1" applyBorder="1"/>
    <x:xf numFmtId="0" fontId="0" fillId="10" borderId="0" xfId="0" applyNumberFormat="1" applyFont="1" applyFill="1" applyBorder="1"/>
    <x:xf numFmtId="0" fontId="15" fillId="10" borderId="0" xfId="0" applyNumberFormat="1" applyFont="1" applyFill="1" applyBorder="1"/>
    <x:xf numFmtId="0" fontId="15" fillId="10" borderId="13" xfId="0" applyNumberFormat="1" applyFont="1" applyFill="1" applyBorder="1"/>
    <x:xf numFmtId="0" fontId="15" fillId="10" borderId="14" xfId="0" applyNumberFormat="1" applyFont="1" applyFill="1" applyBorder="1"/>
    <x:xf numFmtId="0" fontId="15" fillId="10" borderId="15" xfId="0" applyNumberFormat="1" applyFont="1" applyFill="1" applyBorder="1"/>
    <x:xf numFmtId="0" fontId="8" fillId="0" borderId="0" xfId="0" applyNumberFormat="1" applyFont="1" applyFill="1" applyBorder="1"/>
    <x:xf numFmtId="0" fontId="6"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b4556b8d57746c7" /><Relationship Type="http://schemas.openxmlformats.org/officeDocument/2006/relationships/theme" Target="/xl/theme/theme1.xml" Id="R4bd4dd4aa8f14c57" /><Relationship Type="http://schemas.openxmlformats.org/officeDocument/2006/relationships/sharedStrings" Target="/xl/sharedStrings.xml" Id="R3aab76c08e8d4270" /><Relationship Type="http://schemas.openxmlformats.org/officeDocument/2006/relationships/worksheet" Target="/xl/worksheets/sheet1.xml" Id="R8ae1b36cc0114a05" /><Relationship Type="http://schemas.openxmlformats.org/officeDocument/2006/relationships/worksheet" Target="/xl/worksheets/sheet2.xml" Id="R20557f03d1d14464" /><Relationship Type="http://schemas.openxmlformats.org/officeDocument/2006/relationships/worksheet" Target="/xl/worksheets/sheet3.xml" Id="R96f2221f51bd4d14" /><Relationship Type="http://schemas.openxmlformats.org/officeDocument/2006/relationships/worksheet" Target="/xl/worksheets/sheet4.xml" Id="Ra2dcf746dd584f09" /><Relationship Type="http://schemas.openxmlformats.org/officeDocument/2006/relationships/worksheet" Target="/xl/worksheets/sheet5.xml" Id="R50cef935aa624b00" /><Relationship Type="http://schemas.openxmlformats.org/officeDocument/2006/relationships/worksheet" Target="/xl/worksheets/sheet6.xml" Id="R54ef8cf88264435f" /><Relationship Type="http://schemas.openxmlformats.org/officeDocument/2006/relationships/worksheet" Target="/xl/worksheets/sheet7.xml" Id="R25ae5cf22a824dec" /><Relationship Type="http://schemas.openxmlformats.org/officeDocument/2006/relationships/worksheet" Target="/xl/worksheets/sheet8.xml" Id="Rd3796bf03c5f45fb" /><Relationship Type="http://schemas.openxmlformats.org/officeDocument/2006/relationships/worksheet" Target="/xl/worksheets/sheet9.xml" Id="R10a9c2dcd6c94749" /><Relationship Type="http://schemas.openxmlformats.org/officeDocument/2006/relationships/worksheet" Target="/xl/worksheets/sheet10.xml" Id="Rc0f5cfa14831419d" /><Relationship Type="http://schemas.openxmlformats.org/officeDocument/2006/relationships/worksheet" Target="/xl/worksheets/sheet11.xml" Id="R3f7e7932b13b448a" /><Relationship Type="http://schemas.openxmlformats.org/officeDocument/2006/relationships/worksheet" Target="/xl/worksheets/sheet12.xml" Id="R83a5d6505172476c" /><Relationship Type="http://schemas.openxmlformats.org/officeDocument/2006/relationships/worksheet" Target="/xl/worksheets/sheet13.xml" Id="R5d620369aaac4ea6" /></Relationships>
</file>

<file path=xl/tables/table1.xml><?xml version="1.0" encoding="utf-8"?>
<x:table xmlns:x="http://schemas.openxmlformats.org/spreadsheetml/2006/main" id="1" name="SHTeams_10" displayName="SHTeams_10" ref="A1:O2" headerRowCount="1">
  <x:autoFilter ref="A1:O2"/>
  <x:tableColumns count="15">
    <x:tableColumn id="1" name="team_id"/>
    <x:tableColumn id="2" name="team_name"/>
    <x:tableColumn id="3" name="leader_person_id"/>
    <x:tableColumn id="4" name="leader_name"/>
    <x:tableColumn id="5" name="department"/>
    <x:tableColumn id="6" name="in_people_hub"/>
    <x:tableColumn id="7" name="notes"/>
    <x:tableColumn id="8" name="row_version"/>
    <x:tableColumn id="9" name="sync_status"/>
    <x:tableColumn id="10" name="last_modified_utc"/>
    <x:tableColumn id="11" name="modified_by"/>
    <x:tableColumn id="12" name="change_reason"/>
    <x:tableColumn id="13" name="is_deleted"/>
    <x:tableColumn id="14" name="source_id"/>
    <x:tableColumn id="15" name="authority_rank"/>
  </x:tableColumns>
  <x:tableStyleInfo name="TableStyleLight9" showRowStripes="1"/>
</x:table>
</file>

<file path=xl/tables/table2.xml><?xml version="1.0" encoding="utf-8"?>
<x:table xmlns:x="http://schemas.openxmlformats.org/spreadsheetml/2006/main" id="2" name="Batches_11" displayName="Batches_11" ref="A1:F2" headerRowCount="1">
  <x:autoFilter ref="A1:F2"/>
  <x:tableColumns count="6">
    <x:tableColumn id="1" name="schedule_import_batch_id"/>
    <x:tableColumn id="2" name="imported_utc"/>
    <x:tableColumn id="3" name="source_id"/>
    <x:tableColumn id="4" name="row_count"/>
    <x:tableColumn id="5" name="result"/>
    <x:tableColumn id="6" name="notes"/>
  </x:tableColumns>
  <x:tableStyleInfo name="TableStyleLight9" showRowStripes="1"/>
</x:table>
</file>

<file path=xl/tables/table3.xml><?xml version="1.0" encoding="utf-8"?>
<x:table xmlns:x="http://schemas.openxmlformats.org/spreadsheetml/2006/main" id="3" name="SchedData_12" displayName="SchedData_12" ref="A1:Y2" headerRowCount="1">
  <x:autoFilter ref="A1:Y2"/>
  <x:tableColumns count="25">
    <x:tableColumn id="1" name="schedule_entry_id"/>
    <x:tableColumn id="2" name="person_id"/>
    <x:tableColumn id="3" name="person_name"/>
    <x:tableColumn id="4" name="team_name"/>
    <x:tableColumn id="5" name="department"/>
    <x:tableColumn id="6" name="date"/>
    <x:tableColumn id="7" name="day_of_week"/>
    <x:tableColumn id="8" name="uk_start"/>
    <x:tableColumn id="9" name="uk_end"/>
    <x:tableColumn id="10" name="sa_start"/>
    <x:tableColumn id="11" name="sa_end"/>
    <x:tableColumn id="12" name="is_off"/>
    <x:tableColumn id="13" name="source_format"/>
    <x:tableColumn id="14" name="import_batch_id"/>
    <x:tableColumn id="15" name="notes"/>
    <x:tableColumn id="16" name="pid_key"/>
    <x:tableColumn id="17" name="name_key"/>
    <x:tableColumn id="18" name="row_version"/>
    <x:tableColumn id="19" name="sync_status"/>
    <x:tableColumn id="20" name="last_modified_utc"/>
    <x:tableColumn id="21" name="modified_by"/>
    <x:tableColumn id="22" name="change_reason"/>
    <x:tableColumn id="23" name="is_deleted"/>
    <x:tableColumn id="24" name="source_id"/>
    <x:tableColumn id="25" name="authority_rank"/>
  </x:tableColumns>
  <x:tableStyleInfo name="TableStyleLight9" showRowStripes="1"/>
</x:table>
</file>

<file path=xl/tables/table4.xml><?xml version="1.0" encoding="utf-8"?>
<x:table xmlns:x="http://schemas.openxmlformats.org/spreadsheetml/2006/main" id="4" name="Sources_13" displayName="Sources_13" ref="A1:E6" headerRowCount="1">
  <x:autoFilter ref="A1:E6"/>
  <x:tableColumns count="5">
    <x:tableColumn id="1" name="source_id"/>
    <x:tableColumn id="2" name="source_name"/>
    <x:tableColumn id="3" name="authority_rank"/>
    <x:tableColumn id="4" name="source_type"/>
    <x:tableColumn id="5" name="notes"/>
  </x:tableColumns>
  <x:tableStyleInfo name="TableStyleLight9" showRowStripes="1"/>
</x:table>
</file>

<file path=xl/tables/table5.xml><?xml version="1.0" encoding="utf-8"?>
<x:table xmlns:x="http://schemas.openxmlformats.org/spreadsheetml/2006/main" id="5" name="SyncLog_14" displayName="SyncLog_14" ref="A1:I2" headerRowCount="1">
  <x:autoFilter ref="A1:I2"/>
  <x:tableColumns count="9">
    <x:tableColumn id="1" name="run_id"/>
    <x:tableColumn id="2" name="run_utc"/>
    <x:tableColumn id="3" name="app"/>
    <x:tableColumn id="4" name="action"/>
    <x:tableColumn id="5" name="table_name"/>
    <x:tableColumn id="6" name="rows_written"/>
    <x:tableColumn id="7" name="result"/>
    <x:tableColumn id="8" name="flow_run_id"/>
    <x:tableColumn id="9" name="notes"/>
  </x:tableColumns>
  <x:tableStyleInfo name="TableStyleLight9" showRowStripes="1"/>
</x:table>
</file>

<file path=xl/tables/table6.xml><?xml version="1.0" encoding="utf-8"?>
<x:table xmlns:x="http://schemas.openxmlformats.org/spreadsheetml/2006/main" id="6" name="Meta_15" displayName="Meta_15" ref="A1:B10" headerRowCount="1">
  <x:autoFilter ref="A1:B10"/>
  <x:tableColumns count="2">
    <x:tableColumn id="1" name="key"/>
    <x:tableColumn id="2" name="value"/>
  </x:tableColumns>
  <x:tableStyleInfo name="TableStyleLight9" showRowStripes="1"/>
</x:table>
</file>

<file path=xl/tables/table7.xml><?xml version="1.0" encoding="utf-8"?>
<x:table xmlns:x="http://schemas.openxmlformats.org/spreadsheetml/2006/main" id="7" name="Scenarios_16" displayName="Scenarios_16" ref="A1:E2" headerRowCount="1">
  <x:autoFilter ref="A1:E2"/>
  <x:tableColumns count="5">
    <x:tableColumn id="1" name="scenario_id"/>
    <x:tableColumn id="2" name="family"/>
    <x:tableColumn id="3" name="purpose"/>
    <x:tableColumn id="4" name="record_count"/>
    <x:tableColumn id="5" name="source_id"/>
  </x:tableColumns>
  <x:tableStyleInfo name="TableStyleLight9" showRowStripes="1"/>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48748339d587445c" /></Relationships>
</file>

<file path=xl/worksheets/_rels/sheet6.xml.rels>&#65279;<?xml version="1.0" encoding="utf-8"?><Relationships xmlns="http://schemas.openxmlformats.org/package/2006/relationships"><Relationship Type="http://schemas.openxmlformats.org/officeDocument/2006/relationships/table" Target="/xl/tables/table2.xml" Id="Rfd10666930f24dab" /></Relationships>
</file>

<file path=xl/worksheets/_rels/sheet7.xml.rels>&#65279;<?xml version="1.0" encoding="utf-8"?><Relationships xmlns="http://schemas.openxmlformats.org/package/2006/relationships"><Relationship Type="http://schemas.openxmlformats.org/officeDocument/2006/relationships/table" Target="/xl/tables/table3.xml" Id="Rc0cd62efc6444310" /></Relationships>
</file>

<file path=xl/worksheets/_rels/sheet8.xml.rels>&#65279;<?xml version="1.0" encoding="utf-8"?><Relationships xmlns="http://schemas.openxmlformats.org/package/2006/relationships"><Relationship Type="http://schemas.openxmlformats.org/officeDocument/2006/relationships/table" Target="/xl/tables/table4.xml" Id="R99ea7dd7dae64c7d" /></Relationships>
</file>

<file path=xl/worksheets/_rels/sheet9.xml.rels>&#65279;<?xml version="1.0" encoding="utf-8"?><Relationships xmlns="http://schemas.openxmlformats.org/package/2006/relationships"><Relationship Type="http://schemas.openxmlformats.org/officeDocument/2006/relationships/table" Target="/xl/tables/table5.xml" Id="Rb606f897f9ff4434" /></Relationships>
</file>

<file path=xl/worksheets/_rels/sheet10.xml.rels>&#65279;<?xml version="1.0" encoding="utf-8"?><Relationships xmlns="http://schemas.openxmlformats.org/package/2006/relationships"><Relationship Type="http://schemas.openxmlformats.org/officeDocument/2006/relationships/table" Target="/xl/tables/table6.xml" Id="Rba8e1583b2814d33" /></Relationships>
</file>

<file path=xl/worksheets/_rels/sheet11.xml.rels>&#65279;<?xml version="1.0" encoding="utf-8"?><Relationships xmlns="http://schemas.openxmlformats.org/package/2006/relationships"><Relationship Type="http://schemas.openxmlformats.org/officeDocument/2006/relationships/table" Target="/xl/tables/table7.xml" Id="R28f78ffbdda649a2" /></Relationships>
</file>

<file path=xl/worksheets/sheet1.xml><?xml version="1.0" encoding="utf-8"?>
<x:worksheet xmlns:x="http://schemas.openxmlformats.org/spreadsheetml/2006/main">
  <x:sheetPr>
    <x:tabColor rgb="001B4332"/>
  </x:sheetPr>
  <x:sheetViews>
    <x:sheetView showGridLines="0" workbookViewId="0"/>
  </x:sheetViews>
  <x:sheetFormatPr baseColWidth="8" defaultRowHeight="15"/>
  <x:cols>
    <x:col min="1" max="1" width="13" customWidth="1"/>
    <x:col min="2" max="2" width="13" customWidth="1"/>
    <x:col min="3" max="3" width="13" customWidth="1"/>
    <x:col min="4" max="4" width="13" customWidth="1"/>
    <x:col min="5" max="5" width="13" customWidth="1"/>
    <x:col min="6" max="6" width="13" customWidth="1"/>
    <x:col min="7" max="7" width="13" customWidth="1"/>
    <x:col min="8" max="8" width="13" customWidth="1"/>
    <x:col min="9" max="9" width="13" customWidth="1"/>
    <x:col min="10" max="10" width="13" customWidth="1"/>
  </x:cols>
  <x:sheetData>
    <x:row r="1" ht="26" customHeight="1">
      <x:c r="A1" s="1" t="inlineStr">
        <x:is>
          <x:t xml:space="preserve">SCHEDULEHUB - schedule of record</x:t>
        </x:is>
      </x:c>
      <x:c r="B1" s="2" t="n"/>
      <x:c r="C1" s="2" t="n"/>
      <x:c r="D1" s="2" t="n"/>
      <x:c r="E1" s="2" t="n"/>
      <x:c r="F1" s="2" t="n"/>
      <x:c r="G1" s="2" t="n"/>
      <x:c r="H1" s="2" t="n"/>
      <x:c r="I1" s="2" t="n"/>
      <x:c r="J1" s="2" t="n"/>
    </x:row>
    <x:row r="2" ht="14" customHeight="1">
      <x:c r="A2" s="3" t="inlineStr">
        <x:is>
          <x:t xml:space="preserve">every department · one shape: person, date, start/end, off   ·   Ordo ex Tabulis</x:t>
        </x:is>
      </x:c>
      <x:c r="B2" s="2" t="n"/>
      <x:c r="C2" s="2" t="n"/>
      <x:c r="D2" s="2" t="n"/>
      <x:c r="E2" s="2" t="n"/>
      <x:c r="F2" s="2" t="n"/>
      <x:c r="G2" s="2" t="n"/>
      <x:c r="H2" s="2" t="n"/>
      <x:c r="I2" s="2" t="n"/>
      <x:c r="J2" s="2" t="n"/>
    </x:row>
    <x:row r="4" ht="30" customHeight="1">
      <x:c r="A4" s="4" t="n">
        <x:f>COUNTIF(Schedule_Data!$A$2:$A$99999,"SCH-*")</x:f>
        <x:v>0</x:v>
      </x:c>
      <x:c r="B4" s="5" t="n"/>
      <x:c r="D4" s="4" t="inlineStr">
        <x:is>
          <x:t xml:space="preserve">—</x:t>
        </x:is>
      </x:c>
      <x:c r="E4" s="5" t="n"/>
      <x:c r="G4" s="4" t="inlineStr">
        <x:is>
          <x:t xml:space="preserve">—</x:t>
        </x:is>
      </x:c>
      <x:c r="H4" s="5" t="n"/>
      <x:c r="J4" s="4" t="n">
        <x:f>COUNTIF(Teams!$A$2:$A$999,"T-*")</x:f>
        <x:v>0</x:v>
      </x:c>
      <x:c r="K4" s="5" t="n"/>
    </x:row>
    <x:row r="5" ht="14" customHeight="1">
      <x:c r="A5" s="6" t="inlineStr">
        <x:is>
          <x:t xml:space="preserve">SCHEDULE ROWS</x:t>
        </x:is>
      </x:c>
      <x:c r="B5" s="5" t="n"/>
      <x:c r="D5" s="6" t="inlineStr">
        <x:is>
          <x:t xml:space="preserve">DEPARTMENTS</x:t>
        </x:is>
      </x:c>
      <x:c r="E5" s="5" t="n"/>
      <x:c r="G5" s="6" t="inlineStr">
        <x:is>
          <x:t xml:space="preserve">PEOPLE LINKED</x:t>
        </x:is>
      </x:c>
      <x:c r="H5" s="5" t="n"/>
      <x:c r="J5" s="6" t="inlineStr">
        <x:is>
          <x:t xml:space="preserve">TEAMS</x:t>
        </x:is>
      </x:c>
      <x:c r="K5" s="5" t="n"/>
    </x:row>
    <x:row r="7" ht="18" customHeight="1">
      <x:c r="A7" s="7" t="inlineStr">
        <x:is>
          <x:t xml:space="preserve">HOW TO READ THIS WORKBOOK</x:t>
        </x:is>
      </x:c>
      <x:c r="B7" s="8" t="n"/>
      <x:c r="C7" s="8" t="n"/>
      <x:c r="D7" s="8" t="n"/>
      <x:c r="E7" s="8" t="n"/>
      <x:c r="F7" s="8" t="n"/>
      <x:c r="G7" s="8" t="n"/>
      <x:c r="H7" s="8" t="n"/>
      <x:c r="I7" s="8" t="n"/>
      <x:c r="J7" s="8" t="n"/>
    </x:row>
    <x:row r="8">
      <x:c r="A8" s="9" t="inlineStr">
        <x:is>
          <x:t xml:space="preserve">•  Working Today: type a date, see who is on. Clean View: one person, one month.</x:t>
        </x:is>
      </x:c>
    </x:row>
    <x:row r="9">
      <x:c r="A9" s="9" t="inlineStr">
        <x:is>
          <x:t xml:space="preserve">•  Schedule_Data (gray, at the end) is the canonical machine table both apps read.</x:t>
        </x:is>
      </x:c>
    </x:row>
    <x:row r="10">
      <x:c r="A10" s="9" t="inlineStr">
        <x:is>
          <x:t xml:space="preserve">•  Every row carries person_id, source lineage and authority rank — imports never silently overwrite.</x:t>
        </x:is>
      </x:c>
    </x:row>
    <x:row r="12">
      <x:c r="A12" s="10" t="inlineStr">
        <x:is>
          <x:t xml:space="preserve">Green tabs = you edit. Mint tabs = views (no typing). Gold tabs = governance. Gray tabs = machine data for Sync / Sync Ops.</x:t>
        </x:is>
      </x:c>
      <x:c r="B12" s="11" t="n"/>
      <x:c r="C12" s="11" t="n"/>
      <x:c r="D12" s="11" t="n"/>
      <x:c r="E12" s="11" t="n"/>
      <x:c r="F12" s="11" t="n"/>
      <x:c r="G12" s="11" t="n"/>
      <x:c r="H12" s="11" t="n"/>
      <x:c r="I12" s="11" t="n"/>
      <x:c r="J12" s="11" t="n"/>
    </x:row>
  </x:sheetData>
  <x:mergeCells>
    <x:mergeCell ref="A4:B4"/>
    <x:mergeCell ref="G4:H4"/>
    <x:mergeCell ref="A1:J1"/>
    <x:mergeCell ref="J4:K4"/>
    <x:mergeCell ref="A8:J8"/>
    <x:mergeCell ref="J5:K5"/>
    <x:mergeCell ref="A9:J9"/>
    <x:mergeCell ref="D5:E5"/>
    <x:mergeCell ref="A5:B5"/>
    <x:mergeCell ref="G5:H5"/>
    <x:mergeCell ref="A12:J12"/>
    <x:mergeCell ref="A7:J7"/>
    <x:mergeCell ref="D4:E4"/>
    <x:mergeCell ref="A2:J2"/>
    <x:mergeCell ref="A10:J10"/>
  </x:mergeCells>
  <x:pageMargins left="0.7" right="0.7" top="0.75" bottom="0.75" header="0.3" footer="0.3"/>
</x:worksheet>
</file>

<file path=xl/worksheets/sheet2.xml><?xml version="1.0" encoding="utf-8"?>
<x:worksheet xmlns:x="http://schemas.openxmlformats.org/spreadsheetml/2006/main">
  <x:sheetPr>
    <x:tabColor rgb="0040916C"/>
  </x:sheetPr>
  <x:sheetViews>
    <x:sheetView showGridLines="0" workbookViewId="0"/>
  </x:sheetViews>
  <x:sheetFormatPr baseColWidth="8" defaultRowHeight="15"/>
  <x:cols>
    <x:col min="1" max="1" width="24" customWidth="1"/>
    <x:col min="2" max="2" width="16" customWidth="1"/>
    <x:col min="3" max="3" width="16" customWidth="1"/>
    <x:col min="4" max="4" width="16" customWidth="1"/>
    <x:col min="5" max="5" width="16" customWidth="1"/>
    <x:col min="6" max="6" width="16" customWidth="1"/>
    <x:col min="7" max="7" width="16" customWidth="1"/>
    <x:col min="8" max="8" width="16" customWidth="1"/>
  </x:cols>
  <x:sheetData>
    <x:row r="1" ht="26" customHeight="1">
      <x:c r="A1" s="1" t="inlineStr">
        <x:is>
          <x:t xml:space="preserve">theGuide - ScheduleHub</x:t>
        </x:is>
      </x:c>
      <x:c r="B1" s="2" t="n"/>
      <x:c r="C1" s="2" t="n"/>
      <x:c r="D1" s="2" t="n"/>
      <x:c r="E1" s="2" t="n"/>
      <x:c r="F1" s="2" t="n"/>
      <x:c r="G1" s="2" t="n"/>
      <x:c r="H1" s="2" t="n"/>
    </x:row>
    <x:row r="2" ht="14" customHeight="1">
      <x:c r="A2" s="3" t="inlineStr">
        <x:is>
          <x:t xml:space="preserve">how this workbook works   ·   Ordo ex Tabulis</x:t>
        </x:is>
      </x:c>
      <x:c r="B2" s="2" t="n"/>
      <x:c r="C2" s="2" t="n"/>
      <x:c r="D2" s="2" t="n"/>
      <x:c r="E2" s="2" t="n"/>
      <x:c r="F2" s="2" t="n"/>
      <x:c r="G2" s="2" t="n"/>
      <x:c r="H2" s="2" t="n"/>
    </x:row>
    <x:row r="4">
      <x:c r="A4" s="10" t="inlineStr">
        <x:is>
          <x:t xml:space="preserve">Read top to bottom once. Every tab also has its own hints. Green tabs are yours to edit, mint tabs are views, gold tabs are governance, gray tabs are machine data - you rarely need them.</x:t>
        </x:is>
      </x:c>
      <x:c r="B4" s="11" t="n"/>
      <x:c r="C4" s="11" t="n"/>
      <x:c r="D4" s="11" t="n"/>
      <x:c r="E4" s="11" t="n"/>
      <x:c r="F4" s="11" t="n"/>
      <x:c r="G4" s="11" t="n"/>
      <x:c r="H4" s="11" t="n"/>
    </x:row>
    <x:row r="6" ht="14" customHeight="1">
      <x:c r="A6" s="12" t="inlineStr">
        <x:is>
          <x:t xml:space="preserve">What this is</x:t>
        </x:is>
      </x:c>
      <x:c r="B6" s="13" t="inlineStr">
        <x:is>
          <x:t xml:space="preserve">Schedule-of-record for every department, one shape: person, date, start and end, off flag.</x:t>
        </x:is>
      </x:c>
    </x:row>
    <x:row r="7" ht="14" customHeight="1">
      <x:c r="A7" s="12" t="inlineStr">
        <x:is>
          <x:t xml:space="preserve">Working Today</x:t>
        </x:is>
      </x:c>
      <x:c r="B7" s="13" t="inlineStr">
        <x:is>
          <x:t xml:space="preserve">Pick a date at the top; the sheet lists everyone scheduled that day.</x:t>
        </x:is>
      </x:c>
    </x:row>
    <x:row r="8" ht="14" customHeight="1">
      <x:c r="A8" s="12" t="inlineStr">
        <x:is>
          <x:t xml:space="preserve">Clean View</x:t>
        </x:is>
      </x:c>
      <x:c r="B8" s="13" t="inlineStr">
        <x:is>
          <x:t xml:space="preserve">Pick a person and month for a readable schedule.</x:t>
        </x:is>
      </x:c>
    </x:row>
    <x:row r="9" ht="24" customHeight="1">
      <x:c r="A9" s="12" t="inlineStr">
        <x:is>
          <x:t xml:space="preserve">Schedule_Data</x:t>
        </x:is>
      </x:c>
      <x:c r="B9" s="13" t="inlineStr">
        <x:is>
          <x:t xml:space="preserve">The canonical table. One row per person per date, keyed by person_id + date. Apps write here through import batches, never by hand.</x:t>
        </x:is>
      </x:c>
    </x:row>
    <x:row r="10" ht="24" customHeight="1">
      <x:c r="A10" s="12" t="inlineStr">
        <x:is>
          <x:t xml:space="preserve">Import Batches</x:t>
        </x:is>
      </x:c>
      <x:c r="B10" s="13" t="inlineStr">
        <x:is>
          <x:t xml:space="preserve">Every sync run lands as a batch with source lineage, so any import can be traced or rolled back.</x:t>
        </x:is>
      </x:c>
    </x:row>
    <x:row r="12" ht="32" customHeight="1">
      <x:c r="A12" s="48" t="str">
        <x:v>v3.1 pack behavior</x:v>
      </x:c>
      <x:c r="B12" s="49" t="str">
        <x:v>Month tabs are generated for the selected export range. Each file carries the same pack manifest and can be reconciled back into Sync by immutable IDs.</x:v>
      </x:c>
      <x:c r="C12" s="49"/>
      <x:c r="D12" s="49"/>
      <x:c r="E12" s="49"/>
      <x:c r="F12" s="49"/>
      <x:c r="G12" s="49"/>
      <x:c r="H12" s="49"/>
    </x:row>
  </x:sheetData>
  <x:mergeCells>
    <x:mergeCell ref="A4:H4"/>
    <x:mergeCell ref="B8:H8"/>
    <x:mergeCell ref="B9:H9"/>
    <x:mergeCell ref="A2:H2"/>
    <x:mergeCell ref="B6:H6"/>
    <x:mergeCell ref="B7:H7"/>
    <x:mergeCell ref="A1:H1"/>
    <x:mergeCell ref="B10:H10"/>
    <x:mergeCell ref="B12:H12"/>
  </x:mergeCells>
  <x:pageMargins left="0.7" right="0.7" top="0.75" bottom="0.75" header="0.3" footer="0.3"/>
</x:worksheet>
</file>

<file path=xl/worksheets/sheet3.xml><?xml version="1.0" encoding="utf-8"?>
<x:worksheet xmlns:x="http://schemas.openxmlformats.org/spreadsheetml/2006/main">
  <x:sheetPr>
    <x:tabColor rgb="0074C69D"/>
  </x:sheetPr>
  <x:sheetViews>
    <x:sheetView showGridLines="0" workbookViewId="0"/>
  </x:sheetViews>
  <x:sheetFormatPr baseColWidth="8" defaultRowHeight="15"/>
  <x:cols>
    <x:col min="1" max="1" width="11" customWidth="1"/>
    <x:col min="2" max="2" width="24" customWidth="1"/>
    <x:col min="3" max="3" width="16" customWidth="1"/>
    <x:col min="4" max="4" width="14" customWidth="1"/>
  </x:cols>
  <x:sheetData>
    <x:row r="1" ht="26" customHeight="1">
      <x:c r="A1" s="1" t="inlineStr">
        <x:is>
          <x:t xml:space="preserve">WORKING TODAY</x:t>
        </x:is>
      </x:c>
      <x:c r="B1" s="2" t="n"/>
      <x:c r="C1" s="2" t="n"/>
      <x:c r="D1" s="2" t="n"/>
      <x:c r="E1" s="2" t="n"/>
      <x:c r="F1" s="2" t="n"/>
      <x:c r="G1" s="2" t="n"/>
      <x:c r="H1" s="2" t="n"/>
    </x:row>
    <x:row r="2" ht="14" customHeight="1">
      <x:c r="A2" s="3" t="inlineStr">
        <x:is>
          <x:t xml:space="preserve">type a date below (yyyy-mm-dd) - the list follows it   ·   Ordo ex Tabulis</x:t>
        </x:is>
      </x:c>
      <x:c r="B2" s="2" t="n"/>
      <x:c r="C2" s="2" t="n"/>
      <x:c r="D2" s="2" t="n"/>
      <x:c r="E2" s="2" t="n"/>
      <x:c r="F2" s="2" t="n"/>
      <x:c r="G2" s="2" t="n"/>
      <x:c r="H2" s="2" t="n"/>
    </x:row>
    <x:row r="4">
      <x:c r="A4" s="14" t="inlineStr">
        <x:is>
          <x:t xml:space="preserve">Date:</x:t>
        </x:is>
      </x:c>
      <x:c r="B4" s="15" t="inlineStr">
        <x:is>
          <x:t xml:space="preserve">2026-07-20</x:t>
        </x:is>
      </x:c>
      <x:c r="D4" s="14" t="inlineStr">
        <x:is>
          <x:t xml:space="preserve">On duty:</x:t>
        </x:is>
      </x:c>
      <x:c r="E4" s="16" t="n">
        <x:f>COUNTIFS(Schedule_Data!$F$2:$F$99999,$B$4,Schedule_Data!$L$2:$L$99999,"FALSE")</x:f>
        <x:v>0</x:v>
      </x:c>
    </x:row>
    <x:row r="6">
      <x:c r="A6" s="17" t="inlineStr">
        <x:is>
          <x:t xml:space="preserve">person_id</x:t>
        </x:is>
      </x:c>
      <x:c r="B6" s="17" t="inlineStr">
        <x:is>
          <x:t xml:space="preserve">Name</x:t>
        </x:is>
      </x:c>
      <x:c r="C6" s="17" t="inlineStr">
        <x:is>
          <x:t xml:space="preserve">Team</x:t>
        </x:is>
      </x:c>
      <x:c r="D6" s="17" t="inlineStr">
        <x:is>
          <x:t xml:space="preserve">Shift (SA)</x:t>
        </x:is>
      </x:c>
    </x:row>
  </x:sheetData>
  <x:mergeCells>
    <x:mergeCell ref="A2:H2"/>
    <x:mergeCell ref="A1:H1"/>
  </x:mergeCells>
  <x:pageMargins left="0.7" right="0.7" top="0.75" bottom="0.75" header="0.3" footer="0.3"/>
</x:worksheet>
</file>

<file path=xl/worksheets/sheet4.xml><?xml version="1.0" encoding="utf-8"?>
<x:worksheet xmlns:x="http://schemas.openxmlformats.org/spreadsheetml/2006/main">
  <x:sheetPr>
    <x:tabColor rgb="0074C69D"/>
  </x:sheetPr>
  <x:sheetViews>
    <x:sheetView showGridLines="0" workbookViewId="0"/>
  </x:sheetViews>
  <x:sheetFormatPr baseColWidth="8" defaultRowHeight="15"/>
  <x:cols>
    <x:col min="1" max="1" width="12" customWidth="1"/>
    <x:col min="2" max="2" width="8" customWidth="1"/>
    <x:col min="3" max="3" width="16" customWidth="1"/>
    <x:col min="4" max="4" width="16" customWidth="1"/>
  </x:cols>
  <x:sheetData>
    <x:row r="1" ht="26" customHeight="1">
      <x:c r="A1" s="1" t="inlineStr">
        <x:is>
          <x:t xml:space="preserve">CLEAN VIEW - one person, one month</x:t>
        </x:is>
      </x:c>
      <x:c r="B1" s="2" t="n"/>
      <x:c r="C1" s="2" t="n"/>
      <x:c r="D1" s="2" t="n"/>
      <x:c r="E1" s="2" t="n"/>
      <x:c r="F1" s="2" t="n"/>
      <x:c r="G1" s="2" t="n"/>
      <x:c r="H1" s="2" t="n"/>
    </x:row>
    <x:row r="2" ht="14" customHeight="1">
      <x:c r="A2" s="3" t="inlineStr">
        <x:is>
          <x:t xml:space="preserve">pick person and month from the dropdowns   ·   Ordo ex Tabulis</x:t>
        </x:is>
      </x:c>
      <x:c r="B2" s="2" t="n"/>
      <x:c r="C2" s="2" t="n"/>
      <x:c r="D2" s="2" t="n"/>
      <x:c r="E2" s="2" t="n"/>
      <x:c r="F2" s="2" t="n"/>
      <x:c r="G2" s="2" t="n"/>
      <x:c r="H2" s="2" t="n"/>
    </x:row>
    <x:row r="4">
      <x:c r="A4" s="14" t="inlineStr">
        <x:is>
          <x:t xml:space="preserve">Person:</x:t>
        </x:is>
      </x:c>
      <x:c r="B4" s="5" t="inlineStr">
        <x:is>
          <x:t xml:space="preserve"/>
        </x:is>
      </x:c>
      <x:c r="D4" s="14" t="inlineStr">
        <x:is>
          <x:t xml:space="preserve">Month:</x:t>
        </x:is>
      </x:c>
      <x:c r="E4" s="5" t="inlineStr">
        <x:is>
          <x:t xml:space="preserve">2026-07</x:t>
        </x:is>
      </x:c>
    </x:row>
    <x:row r="6">
      <x:c r="A6" s="17" t="inlineStr">
        <x:is>
          <x:t xml:space="preserve">Date</x:t>
        </x:is>
      </x:c>
      <x:c r="B6" s="17" t="inlineStr">
        <x:is>
          <x:t xml:space="preserve">Day</x:t>
        </x:is>
      </x:c>
      <x:c r="C6" s="17" t="inlineStr">
        <x:is>
          <x:t xml:space="preserve">SA shift</x:t>
        </x:is>
      </x:c>
      <x:c r="D6" s="17" t="inlineStr">
        <x:is>
          <x:t xml:space="preserve">UK shift</x:t>
        </x:is>
      </x:c>
    </x:row>
    <x:row r="7">
      <x:c r="A7" s="18" t="str">
        <x:f>IFERROR(IF(DAY(DATE(VALUE(LEFT($E$4,4)),VALUE(MID($E$4,6,2)),1)+0)=1,TEXT(DATE(VALUE(LEFT($E$4,4)),VALUE(MID($E$4,6,2)),1),"yyyy-mm-dd"),""),"")</x:f>
        <x:v>2026-07-01</x:v>
      </x:c>
      <x:c r="B7" s="18" t="str">
        <x:f>IF($A7="","",TEXT(DATEVALUE($A7),"ddd"))</x:f>
        <x:v>Wed</x:v>
      </x:c>
      <x:c r="C7" s="18" t="str">
        <x:f>IF($A7="","",IFERROR(IF(INDEX(Schedule_Data!$L:$L,MATCH($B$4&amp;"|"&amp;$A7,Schedule_Data!$Q:$Q,0))="TRUE","OFF",INDEX(Schedule_Data!$J:$J,MATCH($B$4&amp;"|"&amp;$A7,Schedule_Data!$Q:$Q,0))&amp;"-"&amp;INDEX(Schedule_Data!$K:$K,MATCH($B$4&amp;"|"&amp;$A7,Schedule_Data!$Q:$Q,0))),"no record"))</x:f>
        <x:v>no record</x:v>
      </x:c>
      <x:c r="D7" s="18" t="str">
        <x:f>IF($A7="","",IFERROR(IF(INDEX(Schedule_Data!$L:$L,MATCH($B$4&amp;"|"&amp;$A7,Schedule_Data!$Q:$Q,0))="TRUE","",INDEX(Schedule_Data!$H:$H,MATCH($B$4&amp;"|"&amp;$A7,Schedule_Data!$Q:$Q,0))&amp;"-"&amp;INDEX(Schedule_Data!$I:$I,MATCH($B$4&amp;"|"&amp;$A7,Schedule_Data!$Q:$Q,0))),""))</x:f>
      </x:c>
    </x:row>
    <x:row r="8">
      <x:c r="A8" s="18" t="str">
        <x:f>IFERROR(IF(DAY(DATE(VALUE(LEFT($E$4,4)),VALUE(MID($E$4,6,2)),1)+1)=2,TEXT(DATE(VALUE(LEFT($E$4,4)),VALUE(MID($E$4,6,2)),2),"yyyy-mm-dd"),""),"")</x:f>
        <x:v>2026-07-02</x:v>
      </x:c>
      <x:c r="B8" s="18" t="str">
        <x:f>IF($A8="","",TEXT(DATEVALUE($A8),"ddd"))</x:f>
        <x:v>Thu</x:v>
      </x:c>
      <x:c r="C8" s="18" t="str">
        <x:f>IF($A8="","",IFERROR(IF(INDEX(Schedule_Data!$L:$L,MATCH($B$4&amp;"|"&amp;$A8,Schedule_Data!$Q:$Q,0))="TRUE","OFF",INDEX(Schedule_Data!$J:$J,MATCH($B$4&amp;"|"&amp;$A8,Schedule_Data!$Q:$Q,0))&amp;"-"&amp;INDEX(Schedule_Data!$K:$K,MATCH($B$4&amp;"|"&amp;$A8,Schedule_Data!$Q:$Q,0))),"no record"))</x:f>
        <x:v>no record</x:v>
      </x:c>
      <x:c r="D8" s="18" t="str">
        <x:f>IF($A8="","",IFERROR(IF(INDEX(Schedule_Data!$L:$L,MATCH($B$4&amp;"|"&amp;$A8,Schedule_Data!$Q:$Q,0))="TRUE","",INDEX(Schedule_Data!$H:$H,MATCH($B$4&amp;"|"&amp;$A8,Schedule_Data!$Q:$Q,0))&amp;"-"&amp;INDEX(Schedule_Data!$I:$I,MATCH($B$4&amp;"|"&amp;$A8,Schedule_Data!$Q:$Q,0))),""))</x:f>
      </x:c>
    </x:row>
    <x:row r="9">
      <x:c r="A9" s="18" t="str">
        <x:f>IFERROR(IF(DAY(DATE(VALUE(LEFT($E$4,4)),VALUE(MID($E$4,6,2)),1)+2)=3,TEXT(DATE(VALUE(LEFT($E$4,4)),VALUE(MID($E$4,6,2)),3),"yyyy-mm-dd"),""),"")</x:f>
        <x:v>2026-07-03</x:v>
      </x:c>
      <x:c r="B9" s="18" t="str">
        <x:f>IF($A9="","",TEXT(DATEVALUE($A9),"ddd"))</x:f>
        <x:v>Fri</x:v>
      </x:c>
      <x:c r="C9" s="18" t="str">
        <x:f>IF($A9="","",IFERROR(IF(INDEX(Schedule_Data!$L:$L,MATCH($B$4&amp;"|"&amp;$A9,Schedule_Data!$Q:$Q,0))="TRUE","OFF",INDEX(Schedule_Data!$J:$J,MATCH($B$4&amp;"|"&amp;$A9,Schedule_Data!$Q:$Q,0))&amp;"-"&amp;INDEX(Schedule_Data!$K:$K,MATCH($B$4&amp;"|"&amp;$A9,Schedule_Data!$Q:$Q,0))),"no record"))</x:f>
        <x:v>no record</x:v>
      </x:c>
      <x:c r="D9" s="18" t="str">
        <x:f>IF($A9="","",IFERROR(IF(INDEX(Schedule_Data!$L:$L,MATCH($B$4&amp;"|"&amp;$A9,Schedule_Data!$Q:$Q,0))="TRUE","",INDEX(Schedule_Data!$H:$H,MATCH($B$4&amp;"|"&amp;$A9,Schedule_Data!$Q:$Q,0))&amp;"-"&amp;INDEX(Schedule_Data!$I:$I,MATCH($B$4&amp;"|"&amp;$A9,Schedule_Data!$Q:$Q,0))),""))</x:f>
      </x:c>
    </x:row>
    <x:row r="10">
      <x:c r="A10" s="18" t="str">
        <x:f>IFERROR(IF(DAY(DATE(VALUE(LEFT($E$4,4)),VALUE(MID($E$4,6,2)),1)+3)=4,TEXT(DATE(VALUE(LEFT($E$4,4)),VALUE(MID($E$4,6,2)),4),"yyyy-mm-dd"),""),"")</x:f>
        <x:v>2026-07-04</x:v>
      </x:c>
      <x:c r="B10" s="18" t="str">
        <x:f>IF($A10="","",TEXT(DATEVALUE($A10),"ddd"))</x:f>
        <x:v>Sat</x:v>
      </x:c>
      <x:c r="C10" s="18" t="str">
        <x:f>IF($A10="","",IFERROR(IF(INDEX(Schedule_Data!$L:$L,MATCH($B$4&amp;"|"&amp;$A10,Schedule_Data!$Q:$Q,0))="TRUE","OFF",INDEX(Schedule_Data!$J:$J,MATCH($B$4&amp;"|"&amp;$A10,Schedule_Data!$Q:$Q,0))&amp;"-"&amp;INDEX(Schedule_Data!$K:$K,MATCH($B$4&amp;"|"&amp;$A10,Schedule_Data!$Q:$Q,0))),"no record"))</x:f>
        <x:v>no record</x:v>
      </x:c>
      <x:c r="D10" s="18" t="str">
        <x:f>IF($A10="","",IFERROR(IF(INDEX(Schedule_Data!$L:$L,MATCH($B$4&amp;"|"&amp;$A10,Schedule_Data!$Q:$Q,0))="TRUE","",INDEX(Schedule_Data!$H:$H,MATCH($B$4&amp;"|"&amp;$A10,Schedule_Data!$Q:$Q,0))&amp;"-"&amp;INDEX(Schedule_Data!$I:$I,MATCH($B$4&amp;"|"&amp;$A10,Schedule_Data!$Q:$Q,0))),""))</x:f>
      </x:c>
    </x:row>
    <x:row r="11">
      <x:c r="A11" s="18" t="str">
        <x:f>IFERROR(IF(DAY(DATE(VALUE(LEFT($E$4,4)),VALUE(MID($E$4,6,2)),1)+4)=5,TEXT(DATE(VALUE(LEFT($E$4,4)),VALUE(MID($E$4,6,2)),5),"yyyy-mm-dd"),""),"")</x:f>
        <x:v>2026-07-05</x:v>
      </x:c>
      <x:c r="B11" s="18" t="str">
        <x:f>IF($A11="","",TEXT(DATEVALUE($A11),"ddd"))</x:f>
        <x:v>Sun</x:v>
      </x:c>
      <x:c r="C11" s="18" t="str">
        <x:f>IF($A11="","",IFERROR(IF(INDEX(Schedule_Data!$L:$L,MATCH($B$4&amp;"|"&amp;$A11,Schedule_Data!$Q:$Q,0))="TRUE","OFF",INDEX(Schedule_Data!$J:$J,MATCH($B$4&amp;"|"&amp;$A11,Schedule_Data!$Q:$Q,0))&amp;"-"&amp;INDEX(Schedule_Data!$K:$K,MATCH($B$4&amp;"|"&amp;$A11,Schedule_Data!$Q:$Q,0))),"no record"))</x:f>
        <x:v>no record</x:v>
      </x:c>
      <x:c r="D11" s="18" t="str">
        <x:f>IF($A11="","",IFERROR(IF(INDEX(Schedule_Data!$L:$L,MATCH($B$4&amp;"|"&amp;$A11,Schedule_Data!$Q:$Q,0))="TRUE","",INDEX(Schedule_Data!$H:$H,MATCH($B$4&amp;"|"&amp;$A11,Schedule_Data!$Q:$Q,0))&amp;"-"&amp;INDEX(Schedule_Data!$I:$I,MATCH($B$4&amp;"|"&amp;$A11,Schedule_Data!$Q:$Q,0))),""))</x:f>
      </x:c>
    </x:row>
    <x:row r="12">
      <x:c r="A12" s="18" t="str">
        <x:f>IFERROR(IF(DAY(DATE(VALUE(LEFT($E$4,4)),VALUE(MID($E$4,6,2)),1)+5)=6,TEXT(DATE(VALUE(LEFT($E$4,4)),VALUE(MID($E$4,6,2)),6),"yyyy-mm-dd"),""),"")</x:f>
        <x:v>2026-07-06</x:v>
      </x:c>
      <x:c r="B12" s="18" t="str">
        <x:f>IF($A12="","",TEXT(DATEVALUE($A12),"ddd"))</x:f>
        <x:v>Mon</x:v>
      </x:c>
      <x:c r="C12" s="18" t="str">
        <x:f>IF($A12="","",IFERROR(IF(INDEX(Schedule_Data!$L:$L,MATCH($B$4&amp;"|"&amp;$A12,Schedule_Data!$Q:$Q,0))="TRUE","OFF",INDEX(Schedule_Data!$J:$J,MATCH($B$4&amp;"|"&amp;$A12,Schedule_Data!$Q:$Q,0))&amp;"-"&amp;INDEX(Schedule_Data!$K:$K,MATCH($B$4&amp;"|"&amp;$A12,Schedule_Data!$Q:$Q,0))),"no record"))</x:f>
        <x:v>no record</x:v>
      </x:c>
      <x:c r="D12" s="18" t="str">
        <x:f>IF($A12="","",IFERROR(IF(INDEX(Schedule_Data!$L:$L,MATCH($B$4&amp;"|"&amp;$A12,Schedule_Data!$Q:$Q,0))="TRUE","",INDEX(Schedule_Data!$H:$H,MATCH($B$4&amp;"|"&amp;$A12,Schedule_Data!$Q:$Q,0))&amp;"-"&amp;INDEX(Schedule_Data!$I:$I,MATCH($B$4&amp;"|"&amp;$A12,Schedule_Data!$Q:$Q,0))),""))</x:f>
      </x:c>
    </x:row>
    <x:row r="13">
      <x:c r="A13" s="18" t="str">
        <x:f>IFERROR(IF(DAY(DATE(VALUE(LEFT($E$4,4)),VALUE(MID($E$4,6,2)),1)+6)=7,TEXT(DATE(VALUE(LEFT($E$4,4)),VALUE(MID($E$4,6,2)),7),"yyyy-mm-dd"),""),"")</x:f>
        <x:v>2026-07-07</x:v>
      </x:c>
      <x:c r="B13" s="18" t="str">
        <x:f>IF($A13="","",TEXT(DATEVALUE($A13),"ddd"))</x:f>
        <x:v>Tue</x:v>
      </x:c>
      <x:c r="C13" s="18" t="str">
        <x:f>IF($A13="","",IFERROR(IF(INDEX(Schedule_Data!$L:$L,MATCH($B$4&amp;"|"&amp;$A13,Schedule_Data!$Q:$Q,0))="TRUE","OFF",INDEX(Schedule_Data!$J:$J,MATCH($B$4&amp;"|"&amp;$A13,Schedule_Data!$Q:$Q,0))&amp;"-"&amp;INDEX(Schedule_Data!$K:$K,MATCH($B$4&amp;"|"&amp;$A13,Schedule_Data!$Q:$Q,0))),"no record"))</x:f>
        <x:v>no record</x:v>
      </x:c>
      <x:c r="D13" s="18" t="str">
        <x:f>IF($A13="","",IFERROR(IF(INDEX(Schedule_Data!$L:$L,MATCH($B$4&amp;"|"&amp;$A13,Schedule_Data!$Q:$Q,0))="TRUE","",INDEX(Schedule_Data!$H:$H,MATCH($B$4&amp;"|"&amp;$A13,Schedule_Data!$Q:$Q,0))&amp;"-"&amp;INDEX(Schedule_Data!$I:$I,MATCH($B$4&amp;"|"&amp;$A13,Schedule_Data!$Q:$Q,0))),""))</x:f>
      </x:c>
    </x:row>
    <x:row r="14">
      <x:c r="A14" s="18" t="str">
        <x:f>IFERROR(IF(DAY(DATE(VALUE(LEFT($E$4,4)),VALUE(MID($E$4,6,2)),1)+7)=8,TEXT(DATE(VALUE(LEFT($E$4,4)),VALUE(MID($E$4,6,2)),8),"yyyy-mm-dd"),""),"")</x:f>
        <x:v>2026-07-08</x:v>
      </x:c>
      <x:c r="B14" s="18" t="str">
        <x:f>IF($A14="","",TEXT(DATEVALUE($A14),"ddd"))</x:f>
        <x:v>Wed</x:v>
      </x:c>
      <x:c r="C14" s="18" t="str">
        <x:f>IF($A14="","",IFERROR(IF(INDEX(Schedule_Data!$L:$L,MATCH($B$4&amp;"|"&amp;$A14,Schedule_Data!$Q:$Q,0))="TRUE","OFF",INDEX(Schedule_Data!$J:$J,MATCH($B$4&amp;"|"&amp;$A14,Schedule_Data!$Q:$Q,0))&amp;"-"&amp;INDEX(Schedule_Data!$K:$K,MATCH($B$4&amp;"|"&amp;$A14,Schedule_Data!$Q:$Q,0))),"no record"))</x:f>
        <x:v>no record</x:v>
      </x:c>
      <x:c r="D14" s="18" t="str">
        <x:f>IF($A14="","",IFERROR(IF(INDEX(Schedule_Data!$L:$L,MATCH($B$4&amp;"|"&amp;$A14,Schedule_Data!$Q:$Q,0))="TRUE","",INDEX(Schedule_Data!$H:$H,MATCH($B$4&amp;"|"&amp;$A14,Schedule_Data!$Q:$Q,0))&amp;"-"&amp;INDEX(Schedule_Data!$I:$I,MATCH($B$4&amp;"|"&amp;$A14,Schedule_Data!$Q:$Q,0))),""))</x:f>
      </x:c>
    </x:row>
    <x:row r="15">
      <x:c r="A15" s="18" t="str">
        <x:f>IFERROR(IF(DAY(DATE(VALUE(LEFT($E$4,4)),VALUE(MID($E$4,6,2)),1)+8)=9,TEXT(DATE(VALUE(LEFT($E$4,4)),VALUE(MID($E$4,6,2)),9),"yyyy-mm-dd"),""),"")</x:f>
        <x:v>2026-07-09</x:v>
      </x:c>
      <x:c r="B15" s="18" t="str">
        <x:f>IF($A15="","",TEXT(DATEVALUE($A15),"ddd"))</x:f>
        <x:v>Thu</x:v>
      </x:c>
      <x:c r="C15" s="18" t="str">
        <x:f>IF($A15="","",IFERROR(IF(INDEX(Schedule_Data!$L:$L,MATCH($B$4&amp;"|"&amp;$A15,Schedule_Data!$Q:$Q,0))="TRUE","OFF",INDEX(Schedule_Data!$J:$J,MATCH($B$4&amp;"|"&amp;$A15,Schedule_Data!$Q:$Q,0))&amp;"-"&amp;INDEX(Schedule_Data!$K:$K,MATCH($B$4&amp;"|"&amp;$A15,Schedule_Data!$Q:$Q,0))),"no record"))</x:f>
        <x:v>no record</x:v>
      </x:c>
      <x:c r="D15" s="18" t="str">
        <x:f>IF($A15="","",IFERROR(IF(INDEX(Schedule_Data!$L:$L,MATCH($B$4&amp;"|"&amp;$A15,Schedule_Data!$Q:$Q,0))="TRUE","",INDEX(Schedule_Data!$H:$H,MATCH($B$4&amp;"|"&amp;$A15,Schedule_Data!$Q:$Q,0))&amp;"-"&amp;INDEX(Schedule_Data!$I:$I,MATCH($B$4&amp;"|"&amp;$A15,Schedule_Data!$Q:$Q,0))),""))</x:f>
      </x:c>
    </x:row>
    <x:row r="16">
      <x:c r="A16" s="18" t="str">
        <x:f>IFERROR(IF(DAY(DATE(VALUE(LEFT($E$4,4)),VALUE(MID($E$4,6,2)),1)+9)=10,TEXT(DATE(VALUE(LEFT($E$4,4)),VALUE(MID($E$4,6,2)),10),"yyyy-mm-dd"),""),"")</x:f>
        <x:v>2026-07-10</x:v>
      </x:c>
      <x:c r="B16" s="18" t="str">
        <x:f>IF($A16="","",TEXT(DATEVALUE($A16),"ddd"))</x:f>
        <x:v>Fri</x:v>
      </x:c>
      <x:c r="C16" s="18" t="str">
        <x:f>IF($A16="","",IFERROR(IF(INDEX(Schedule_Data!$L:$L,MATCH($B$4&amp;"|"&amp;$A16,Schedule_Data!$Q:$Q,0))="TRUE","OFF",INDEX(Schedule_Data!$J:$J,MATCH($B$4&amp;"|"&amp;$A16,Schedule_Data!$Q:$Q,0))&amp;"-"&amp;INDEX(Schedule_Data!$K:$K,MATCH($B$4&amp;"|"&amp;$A16,Schedule_Data!$Q:$Q,0))),"no record"))</x:f>
        <x:v>no record</x:v>
      </x:c>
      <x:c r="D16" s="18" t="str">
        <x:f>IF($A16="","",IFERROR(IF(INDEX(Schedule_Data!$L:$L,MATCH($B$4&amp;"|"&amp;$A16,Schedule_Data!$Q:$Q,0))="TRUE","",INDEX(Schedule_Data!$H:$H,MATCH($B$4&amp;"|"&amp;$A16,Schedule_Data!$Q:$Q,0))&amp;"-"&amp;INDEX(Schedule_Data!$I:$I,MATCH($B$4&amp;"|"&amp;$A16,Schedule_Data!$Q:$Q,0))),""))</x:f>
      </x:c>
    </x:row>
    <x:row r="17">
      <x:c r="A17" s="18" t="str">
        <x:f>IFERROR(IF(DAY(DATE(VALUE(LEFT($E$4,4)),VALUE(MID($E$4,6,2)),1)+10)=11,TEXT(DATE(VALUE(LEFT($E$4,4)),VALUE(MID($E$4,6,2)),11),"yyyy-mm-dd"),""),"")</x:f>
        <x:v>2026-07-11</x:v>
      </x:c>
      <x:c r="B17" s="18" t="str">
        <x:f>IF($A17="","",TEXT(DATEVALUE($A17),"ddd"))</x:f>
        <x:v>Sat</x:v>
      </x:c>
      <x:c r="C17" s="18" t="str">
        <x:f>IF($A17="","",IFERROR(IF(INDEX(Schedule_Data!$L:$L,MATCH($B$4&amp;"|"&amp;$A17,Schedule_Data!$Q:$Q,0))="TRUE","OFF",INDEX(Schedule_Data!$J:$J,MATCH($B$4&amp;"|"&amp;$A17,Schedule_Data!$Q:$Q,0))&amp;"-"&amp;INDEX(Schedule_Data!$K:$K,MATCH($B$4&amp;"|"&amp;$A17,Schedule_Data!$Q:$Q,0))),"no record"))</x:f>
        <x:v>no record</x:v>
      </x:c>
      <x:c r="D17" s="18" t="str">
        <x:f>IF($A17="","",IFERROR(IF(INDEX(Schedule_Data!$L:$L,MATCH($B$4&amp;"|"&amp;$A17,Schedule_Data!$Q:$Q,0))="TRUE","",INDEX(Schedule_Data!$H:$H,MATCH($B$4&amp;"|"&amp;$A17,Schedule_Data!$Q:$Q,0))&amp;"-"&amp;INDEX(Schedule_Data!$I:$I,MATCH($B$4&amp;"|"&amp;$A17,Schedule_Data!$Q:$Q,0))),""))</x:f>
      </x:c>
    </x:row>
    <x:row r="18">
      <x:c r="A18" s="18" t="str">
        <x:f>IFERROR(IF(DAY(DATE(VALUE(LEFT($E$4,4)),VALUE(MID($E$4,6,2)),1)+11)=12,TEXT(DATE(VALUE(LEFT($E$4,4)),VALUE(MID($E$4,6,2)),12),"yyyy-mm-dd"),""),"")</x:f>
        <x:v>2026-07-12</x:v>
      </x:c>
      <x:c r="B18" s="18" t="str">
        <x:f>IF($A18="","",TEXT(DATEVALUE($A18),"ddd"))</x:f>
        <x:v>Sun</x:v>
      </x:c>
      <x:c r="C18" s="18" t="str">
        <x:f>IF($A18="","",IFERROR(IF(INDEX(Schedule_Data!$L:$L,MATCH($B$4&amp;"|"&amp;$A18,Schedule_Data!$Q:$Q,0))="TRUE","OFF",INDEX(Schedule_Data!$J:$J,MATCH($B$4&amp;"|"&amp;$A18,Schedule_Data!$Q:$Q,0))&amp;"-"&amp;INDEX(Schedule_Data!$K:$K,MATCH($B$4&amp;"|"&amp;$A18,Schedule_Data!$Q:$Q,0))),"no record"))</x:f>
        <x:v>no record</x:v>
      </x:c>
      <x:c r="D18" s="18" t="str">
        <x:f>IF($A18="","",IFERROR(IF(INDEX(Schedule_Data!$L:$L,MATCH($B$4&amp;"|"&amp;$A18,Schedule_Data!$Q:$Q,0))="TRUE","",INDEX(Schedule_Data!$H:$H,MATCH($B$4&amp;"|"&amp;$A18,Schedule_Data!$Q:$Q,0))&amp;"-"&amp;INDEX(Schedule_Data!$I:$I,MATCH($B$4&amp;"|"&amp;$A18,Schedule_Data!$Q:$Q,0))),""))</x:f>
      </x:c>
    </x:row>
    <x:row r="19">
      <x:c r="A19" s="18" t="str">
        <x:f>IFERROR(IF(DAY(DATE(VALUE(LEFT($E$4,4)),VALUE(MID($E$4,6,2)),1)+12)=13,TEXT(DATE(VALUE(LEFT($E$4,4)),VALUE(MID($E$4,6,2)),13),"yyyy-mm-dd"),""),"")</x:f>
        <x:v>2026-07-13</x:v>
      </x:c>
      <x:c r="B19" s="18" t="str">
        <x:f>IF($A19="","",TEXT(DATEVALUE($A19),"ddd"))</x:f>
        <x:v>Mon</x:v>
      </x:c>
      <x:c r="C19" s="18" t="str">
        <x:f>IF($A19="","",IFERROR(IF(INDEX(Schedule_Data!$L:$L,MATCH($B$4&amp;"|"&amp;$A19,Schedule_Data!$Q:$Q,0))="TRUE","OFF",INDEX(Schedule_Data!$J:$J,MATCH($B$4&amp;"|"&amp;$A19,Schedule_Data!$Q:$Q,0))&amp;"-"&amp;INDEX(Schedule_Data!$K:$K,MATCH($B$4&amp;"|"&amp;$A19,Schedule_Data!$Q:$Q,0))),"no record"))</x:f>
        <x:v>no record</x:v>
      </x:c>
      <x:c r="D19" s="18" t="str">
        <x:f>IF($A19="","",IFERROR(IF(INDEX(Schedule_Data!$L:$L,MATCH($B$4&amp;"|"&amp;$A19,Schedule_Data!$Q:$Q,0))="TRUE","",INDEX(Schedule_Data!$H:$H,MATCH($B$4&amp;"|"&amp;$A19,Schedule_Data!$Q:$Q,0))&amp;"-"&amp;INDEX(Schedule_Data!$I:$I,MATCH($B$4&amp;"|"&amp;$A19,Schedule_Data!$Q:$Q,0))),""))</x:f>
      </x:c>
    </x:row>
    <x:row r="20">
      <x:c r="A20" s="18" t="str">
        <x:f>IFERROR(IF(DAY(DATE(VALUE(LEFT($E$4,4)),VALUE(MID($E$4,6,2)),1)+13)=14,TEXT(DATE(VALUE(LEFT($E$4,4)),VALUE(MID($E$4,6,2)),14),"yyyy-mm-dd"),""),"")</x:f>
        <x:v>2026-07-14</x:v>
      </x:c>
      <x:c r="B20" s="18" t="str">
        <x:f>IF($A20="","",TEXT(DATEVALUE($A20),"ddd"))</x:f>
        <x:v>Tue</x:v>
      </x:c>
      <x:c r="C20" s="18" t="str">
        <x:f>IF($A20="","",IFERROR(IF(INDEX(Schedule_Data!$L:$L,MATCH($B$4&amp;"|"&amp;$A20,Schedule_Data!$Q:$Q,0))="TRUE","OFF",INDEX(Schedule_Data!$J:$J,MATCH($B$4&amp;"|"&amp;$A20,Schedule_Data!$Q:$Q,0))&amp;"-"&amp;INDEX(Schedule_Data!$K:$K,MATCH($B$4&amp;"|"&amp;$A20,Schedule_Data!$Q:$Q,0))),"no record"))</x:f>
        <x:v>no record</x:v>
      </x:c>
      <x:c r="D20" s="18" t="str">
        <x:f>IF($A20="","",IFERROR(IF(INDEX(Schedule_Data!$L:$L,MATCH($B$4&amp;"|"&amp;$A20,Schedule_Data!$Q:$Q,0))="TRUE","",INDEX(Schedule_Data!$H:$H,MATCH($B$4&amp;"|"&amp;$A20,Schedule_Data!$Q:$Q,0))&amp;"-"&amp;INDEX(Schedule_Data!$I:$I,MATCH($B$4&amp;"|"&amp;$A20,Schedule_Data!$Q:$Q,0))),""))</x:f>
      </x:c>
    </x:row>
    <x:row r="21">
      <x:c r="A21" s="18" t="str">
        <x:f>IFERROR(IF(DAY(DATE(VALUE(LEFT($E$4,4)),VALUE(MID($E$4,6,2)),1)+14)=15,TEXT(DATE(VALUE(LEFT($E$4,4)),VALUE(MID($E$4,6,2)),15),"yyyy-mm-dd"),""),"")</x:f>
        <x:v>2026-07-15</x:v>
      </x:c>
      <x:c r="B21" s="18" t="str">
        <x:f>IF($A21="","",TEXT(DATEVALUE($A21),"ddd"))</x:f>
        <x:v>Wed</x:v>
      </x:c>
      <x:c r="C21" s="18" t="str">
        <x:f>IF($A21="","",IFERROR(IF(INDEX(Schedule_Data!$L:$L,MATCH($B$4&amp;"|"&amp;$A21,Schedule_Data!$Q:$Q,0))="TRUE","OFF",INDEX(Schedule_Data!$J:$J,MATCH($B$4&amp;"|"&amp;$A21,Schedule_Data!$Q:$Q,0))&amp;"-"&amp;INDEX(Schedule_Data!$K:$K,MATCH($B$4&amp;"|"&amp;$A21,Schedule_Data!$Q:$Q,0))),"no record"))</x:f>
        <x:v>no record</x:v>
      </x:c>
      <x:c r="D21" s="18" t="str">
        <x:f>IF($A21="","",IFERROR(IF(INDEX(Schedule_Data!$L:$L,MATCH($B$4&amp;"|"&amp;$A21,Schedule_Data!$Q:$Q,0))="TRUE","",INDEX(Schedule_Data!$H:$H,MATCH($B$4&amp;"|"&amp;$A21,Schedule_Data!$Q:$Q,0))&amp;"-"&amp;INDEX(Schedule_Data!$I:$I,MATCH($B$4&amp;"|"&amp;$A21,Schedule_Data!$Q:$Q,0))),""))</x:f>
      </x:c>
    </x:row>
    <x:row r="22">
      <x:c r="A22" s="18" t="str">
        <x:f>IFERROR(IF(DAY(DATE(VALUE(LEFT($E$4,4)),VALUE(MID($E$4,6,2)),1)+15)=16,TEXT(DATE(VALUE(LEFT($E$4,4)),VALUE(MID($E$4,6,2)),16),"yyyy-mm-dd"),""),"")</x:f>
        <x:v>2026-07-16</x:v>
      </x:c>
      <x:c r="B22" s="18" t="str">
        <x:f>IF($A22="","",TEXT(DATEVALUE($A22),"ddd"))</x:f>
        <x:v>Thu</x:v>
      </x:c>
      <x:c r="C22" s="18" t="str">
        <x:f>IF($A22="","",IFERROR(IF(INDEX(Schedule_Data!$L:$L,MATCH($B$4&amp;"|"&amp;$A22,Schedule_Data!$Q:$Q,0))="TRUE","OFF",INDEX(Schedule_Data!$J:$J,MATCH($B$4&amp;"|"&amp;$A22,Schedule_Data!$Q:$Q,0))&amp;"-"&amp;INDEX(Schedule_Data!$K:$K,MATCH($B$4&amp;"|"&amp;$A22,Schedule_Data!$Q:$Q,0))),"no record"))</x:f>
        <x:v>no record</x:v>
      </x:c>
      <x:c r="D22" s="18" t="str">
        <x:f>IF($A22="","",IFERROR(IF(INDEX(Schedule_Data!$L:$L,MATCH($B$4&amp;"|"&amp;$A22,Schedule_Data!$Q:$Q,0))="TRUE","",INDEX(Schedule_Data!$H:$H,MATCH($B$4&amp;"|"&amp;$A22,Schedule_Data!$Q:$Q,0))&amp;"-"&amp;INDEX(Schedule_Data!$I:$I,MATCH($B$4&amp;"|"&amp;$A22,Schedule_Data!$Q:$Q,0))),""))</x:f>
      </x:c>
    </x:row>
    <x:row r="23">
      <x:c r="A23" s="18" t="str">
        <x:f>IFERROR(IF(DAY(DATE(VALUE(LEFT($E$4,4)),VALUE(MID($E$4,6,2)),1)+16)=17,TEXT(DATE(VALUE(LEFT($E$4,4)),VALUE(MID($E$4,6,2)),17),"yyyy-mm-dd"),""),"")</x:f>
        <x:v>2026-07-17</x:v>
      </x:c>
      <x:c r="B23" s="18" t="str">
        <x:f>IF($A23="","",TEXT(DATEVALUE($A23),"ddd"))</x:f>
        <x:v>Fri</x:v>
      </x:c>
      <x:c r="C23" s="18" t="str">
        <x:f>IF($A23="","",IFERROR(IF(INDEX(Schedule_Data!$L:$L,MATCH($B$4&amp;"|"&amp;$A23,Schedule_Data!$Q:$Q,0))="TRUE","OFF",INDEX(Schedule_Data!$J:$J,MATCH($B$4&amp;"|"&amp;$A23,Schedule_Data!$Q:$Q,0))&amp;"-"&amp;INDEX(Schedule_Data!$K:$K,MATCH($B$4&amp;"|"&amp;$A23,Schedule_Data!$Q:$Q,0))),"no record"))</x:f>
        <x:v>no record</x:v>
      </x:c>
      <x:c r="D23" s="18" t="str">
        <x:f>IF($A23="","",IFERROR(IF(INDEX(Schedule_Data!$L:$L,MATCH($B$4&amp;"|"&amp;$A23,Schedule_Data!$Q:$Q,0))="TRUE","",INDEX(Schedule_Data!$H:$H,MATCH($B$4&amp;"|"&amp;$A23,Schedule_Data!$Q:$Q,0))&amp;"-"&amp;INDEX(Schedule_Data!$I:$I,MATCH($B$4&amp;"|"&amp;$A23,Schedule_Data!$Q:$Q,0))),""))</x:f>
      </x:c>
    </x:row>
    <x:row r="24">
      <x:c r="A24" s="18" t="str">
        <x:f>IFERROR(IF(DAY(DATE(VALUE(LEFT($E$4,4)),VALUE(MID($E$4,6,2)),1)+17)=18,TEXT(DATE(VALUE(LEFT($E$4,4)),VALUE(MID($E$4,6,2)),18),"yyyy-mm-dd"),""),"")</x:f>
        <x:v>2026-07-18</x:v>
      </x:c>
      <x:c r="B24" s="18" t="str">
        <x:f>IF($A24="","",TEXT(DATEVALUE($A24),"ddd"))</x:f>
        <x:v>Sat</x:v>
      </x:c>
      <x:c r="C24" s="18" t="str">
        <x:f>IF($A24="","",IFERROR(IF(INDEX(Schedule_Data!$L:$L,MATCH($B$4&amp;"|"&amp;$A24,Schedule_Data!$Q:$Q,0))="TRUE","OFF",INDEX(Schedule_Data!$J:$J,MATCH($B$4&amp;"|"&amp;$A24,Schedule_Data!$Q:$Q,0))&amp;"-"&amp;INDEX(Schedule_Data!$K:$K,MATCH($B$4&amp;"|"&amp;$A24,Schedule_Data!$Q:$Q,0))),"no record"))</x:f>
        <x:v>no record</x:v>
      </x:c>
      <x:c r="D24" s="18" t="str">
        <x:f>IF($A24="","",IFERROR(IF(INDEX(Schedule_Data!$L:$L,MATCH($B$4&amp;"|"&amp;$A24,Schedule_Data!$Q:$Q,0))="TRUE","",INDEX(Schedule_Data!$H:$H,MATCH($B$4&amp;"|"&amp;$A24,Schedule_Data!$Q:$Q,0))&amp;"-"&amp;INDEX(Schedule_Data!$I:$I,MATCH($B$4&amp;"|"&amp;$A24,Schedule_Data!$Q:$Q,0))),""))</x:f>
      </x:c>
    </x:row>
    <x:row r="25">
      <x:c r="A25" s="18" t="str">
        <x:f>IFERROR(IF(DAY(DATE(VALUE(LEFT($E$4,4)),VALUE(MID($E$4,6,2)),1)+18)=19,TEXT(DATE(VALUE(LEFT($E$4,4)),VALUE(MID($E$4,6,2)),19),"yyyy-mm-dd"),""),"")</x:f>
        <x:v>2026-07-19</x:v>
      </x:c>
      <x:c r="B25" s="18" t="str">
        <x:f>IF($A25="","",TEXT(DATEVALUE($A25),"ddd"))</x:f>
        <x:v>Sun</x:v>
      </x:c>
      <x:c r="C25" s="18" t="str">
        <x:f>IF($A25="","",IFERROR(IF(INDEX(Schedule_Data!$L:$L,MATCH($B$4&amp;"|"&amp;$A25,Schedule_Data!$Q:$Q,0))="TRUE","OFF",INDEX(Schedule_Data!$J:$J,MATCH($B$4&amp;"|"&amp;$A25,Schedule_Data!$Q:$Q,0))&amp;"-"&amp;INDEX(Schedule_Data!$K:$K,MATCH($B$4&amp;"|"&amp;$A25,Schedule_Data!$Q:$Q,0))),"no record"))</x:f>
        <x:v>no record</x:v>
      </x:c>
      <x:c r="D25" s="18" t="str">
        <x:f>IF($A25="","",IFERROR(IF(INDEX(Schedule_Data!$L:$L,MATCH($B$4&amp;"|"&amp;$A25,Schedule_Data!$Q:$Q,0))="TRUE","",INDEX(Schedule_Data!$H:$H,MATCH($B$4&amp;"|"&amp;$A25,Schedule_Data!$Q:$Q,0))&amp;"-"&amp;INDEX(Schedule_Data!$I:$I,MATCH($B$4&amp;"|"&amp;$A25,Schedule_Data!$Q:$Q,0))),""))</x:f>
      </x:c>
    </x:row>
    <x:row r="26">
      <x:c r="A26" s="18" t="str">
        <x:f>IFERROR(IF(DAY(DATE(VALUE(LEFT($E$4,4)),VALUE(MID($E$4,6,2)),1)+19)=20,TEXT(DATE(VALUE(LEFT($E$4,4)),VALUE(MID($E$4,6,2)),20),"yyyy-mm-dd"),""),"")</x:f>
        <x:v>2026-07-20</x:v>
      </x:c>
      <x:c r="B26" s="18" t="str">
        <x:f>IF($A26="","",TEXT(DATEVALUE($A26),"ddd"))</x:f>
        <x:v>Mon</x:v>
      </x:c>
      <x:c r="C26" s="18" t="str">
        <x:f>IF($A26="","",IFERROR(IF(INDEX(Schedule_Data!$L:$L,MATCH($B$4&amp;"|"&amp;$A26,Schedule_Data!$Q:$Q,0))="TRUE","OFF",INDEX(Schedule_Data!$J:$J,MATCH($B$4&amp;"|"&amp;$A26,Schedule_Data!$Q:$Q,0))&amp;"-"&amp;INDEX(Schedule_Data!$K:$K,MATCH($B$4&amp;"|"&amp;$A26,Schedule_Data!$Q:$Q,0))),"no record"))</x:f>
        <x:v>no record</x:v>
      </x:c>
      <x:c r="D26" s="18" t="str">
        <x:f>IF($A26="","",IFERROR(IF(INDEX(Schedule_Data!$L:$L,MATCH($B$4&amp;"|"&amp;$A26,Schedule_Data!$Q:$Q,0))="TRUE","",INDEX(Schedule_Data!$H:$H,MATCH($B$4&amp;"|"&amp;$A26,Schedule_Data!$Q:$Q,0))&amp;"-"&amp;INDEX(Schedule_Data!$I:$I,MATCH($B$4&amp;"|"&amp;$A26,Schedule_Data!$Q:$Q,0))),""))</x:f>
      </x:c>
    </x:row>
    <x:row r="27">
      <x:c r="A27" s="18" t="str">
        <x:f>IFERROR(IF(DAY(DATE(VALUE(LEFT($E$4,4)),VALUE(MID($E$4,6,2)),1)+20)=21,TEXT(DATE(VALUE(LEFT($E$4,4)),VALUE(MID($E$4,6,2)),21),"yyyy-mm-dd"),""),"")</x:f>
        <x:v>2026-07-21</x:v>
      </x:c>
      <x:c r="B27" s="18" t="str">
        <x:f>IF($A27="","",TEXT(DATEVALUE($A27),"ddd"))</x:f>
        <x:v>Tue</x:v>
      </x:c>
      <x:c r="C27" s="18" t="str">
        <x:f>IF($A27="","",IFERROR(IF(INDEX(Schedule_Data!$L:$L,MATCH($B$4&amp;"|"&amp;$A27,Schedule_Data!$Q:$Q,0))="TRUE","OFF",INDEX(Schedule_Data!$J:$J,MATCH($B$4&amp;"|"&amp;$A27,Schedule_Data!$Q:$Q,0))&amp;"-"&amp;INDEX(Schedule_Data!$K:$K,MATCH($B$4&amp;"|"&amp;$A27,Schedule_Data!$Q:$Q,0))),"no record"))</x:f>
        <x:v>no record</x:v>
      </x:c>
      <x:c r="D27" s="18" t="str">
        <x:f>IF($A27="","",IFERROR(IF(INDEX(Schedule_Data!$L:$L,MATCH($B$4&amp;"|"&amp;$A27,Schedule_Data!$Q:$Q,0))="TRUE","",INDEX(Schedule_Data!$H:$H,MATCH($B$4&amp;"|"&amp;$A27,Schedule_Data!$Q:$Q,0))&amp;"-"&amp;INDEX(Schedule_Data!$I:$I,MATCH($B$4&amp;"|"&amp;$A27,Schedule_Data!$Q:$Q,0))),""))</x:f>
      </x:c>
    </x:row>
    <x:row r="28">
      <x:c r="A28" s="18" t="str">
        <x:f>IFERROR(IF(DAY(DATE(VALUE(LEFT($E$4,4)),VALUE(MID($E$4,6,2)),1)+21)=22,TEXT(DATE(VALUE(LEFT($E$4,4)),VALUE(MID($E$4,6,2)),22),"yyyy-mm-dd"),""),"")</x:f>
        <x:v>2026-07-22</x:v>
      </x:c>
      <x:c r="B28" s="18" t="str">
        <x:f>IF($A28="","",TEXT(DATEVALUE($A28),"ddd"))</x:f>
        <x:v>Wed</x:v>
      </x:c>
      <x:c r="C28" s="18" t="str">
        <x:f>IF($A28="","",IFERROR(IF(INDEX(Schedule_Data!$L:$L,MATCH($B$4&amp;"|"&amp;$A28,Schedule_Data!$Q:$Q,0))="TRUE","OFF",INDEX(Schedule_Data!$J:$J,MATCH($B$4&amp;"|"&amp;$A28,Schedule_Data!$Q:$Q,0))&amp;"-"&amp;INDEX(Schedule_Data!$K:$K,MATCH($B$4&amp;"|"&amp;$A28,Schedule_Data!$Q:$Q,0))),"no record"))</x:f>
        <x:v>no record</x:v>
      </x:c>
      <x:c r="D28" s="18" t="str">
        <x:f>IF($A28="","",IFERROR(IF(INDEX(Schedule_Data!$L:$L,MATCH($B$4&amp;"|"&amp;$A28,Schedule_Data!$Q:$Q,0))="TRUE","",INDEX(Schedule_Data!$H:$H,MATCH($B$4&amp;"|"&amp;$A28,Schedule_Data!$Q:$Q,0))&amp;"-"&amp;INDEX(Schedule_Data!$I:$I,MATCH($B$4&amp;"|"&amp;$A28,Schedule_Data!$Q:$Q,0))),""))</x:f>
      </x:c>
    </x:row>
    <x:row r="29">
      <x:c r="A29" s="18" t="str">
        <x:f>IFERROR(IF(DAY(DATE(VALUE(LEFT($E$4,4)),VALUE(MID($E$4,6,2)),1)+22)=23,TEXT(DATE(VALUE(LEFT($E$4,4)),VALUE(MID($E$4,6,2)),23),"yyyy-mm-dd"),""),"")</x:f>
        <x:v>2026-07-23</x:v>
      </x:c>
      <x:c r="B29" s="18" t="str">
        <x:f>IF($A29="","",TEXT(DATEVALUE($A29),"ddd"))</x:f>
        <x:v>Thu</x:v>
      </x:c>
      <x:c r="C29" s="18" t="str">
        <x:f>IF($A29="","",IFERROR(IF(INDEX(Schedule_Data!$L:$L,MATCH($B$4&amp;"|"&amp;$A29,Schedule_Data!$Q:$Q,0))="TRUE","OFF",INDEX(Schedule_Data!$J:$J,MATCH($B$4&amp;"|"&amp;$A29,Schedule_Data!$Q:$Q,0))&amp;"-"&amp;INDEX(Schedule_Data!$K:$K,MATCH($B$4&amp;"|"&amp;$A29,Schedule_Data!$Q:$Q,0))),"no record"))</x:f>
        <x:v>no record</x:v>
      </x:c>
      <x:c r="D29" s="18" t="str">
        <x:f>IF($A29="","",IFERROR(IF(INDEX(Schedule_Data!$L:$L,MATCH($B$4&amp;"|"&amp;$A29,Schedule_Data!$Q:$Q,0))="TRUE","",INDEX(Schedule_Data!$H:$H,MATCH($B$4&amp;"|"&amp;$A29,Schedule_Data!$Q:$Q,0))&amp;"-"&amp;INDEX(Schedule_Data!$I:$I,MATCH($B$4&amp;"|"&amp;$A29,Schedule_Data!$Q:$Q,0))),""))</x:f>
      </x:c>
    </x:row>
    <x:row r="30">
      <x:c r="A30" s="18" t="str">
        <x:f>IFERROR(IF(DAY(DATE(VALUE(LEFT($E$4,4)),VALUE(MID($E$4,6,2)),1)+23)=24,TEXT(DATE(VALUE(LEFT($E$4,4)),VALUE(MID($E$4,6,2)),24),"yyyy-mm-dd"),""),"")</x:f>
        <x:v>2026-07-24</x:v>
      </x:c>
      <x:c r="B30" s="18" t="str">
        <x:f>IF($A30="","",TEXT(DATEVALUE($A30),"ddd"))</x:f>
        <x:v>Fri</x:v>
      </x:c>
      <x:c r="C30" s="18" t="str">
        <x:f>IF($A30="","",IFERROR(IF(INDEX(Schedule_Data!$L:$L,MATCH($B$4&amp;"|"&amp;$A30,Schedule_Data!$Q:$Q,0))="TRUE","OFF",INDEX(Schedule_Data!$J:$J,MATCH($B$4&amp;"|"&amp;$A30,Schedule_Data!$Q:$Q,0))&amp;"-"&amp;INDEX(Schedule_Data!$K:$K,MATCH($B$4&amp;"|"&amp;$A30,Schedule_Data!$Q:$Q,0))),"no record"))</x:f>
        <x:v>no record</x:v>
      </x:c>
      <x:c r="D30" s="18" t="str">
        <x:f>IF($A30="","",IFERROR(IF(INDEX(Schedule_Data!$L:$L,MATCH($B$4&amp;"|"&amp;$A30,Schedule_Data!$Q:$Q,0))="TRUE","",INDEX(Schedule_Data!$H:$H,MATCH($B$4&amp;"|"&amp;$A30,Schedule_Data!$Q:$Q,0))&amp;"-"&amp;INDEX(Schedule_Data!$I:$I,MATCH($B$4&amp;"|"&amp;$A30,Schedule_Data!$Q:$Q,0))),""))</x:f>
      </x:c>
    </x:row>
    <x:row r="31">
      <x:c r="A31" s="18" t="str">
        <x:f>IFERROR(IF(DAY(DATE(VALUE(LEFT($E$4,4)),VALUE(MID($E$4,6,2)),1)+24)=25,TEXT(DATE(VALUE(LEFT($E$4,4)),VALUE(MID($E$4,6,2)),25),"yyyy-mm-dd"),""),"")</x:f>
        <x:v>2026-07-25</x:v>
      </x:c>
      <x:c r="B31" s="18" t="str">
        <x:f>IF($A31="","",TEXT(DATEVALUE($A31),"ddd"))</x:f>
        <x:v>Sat</x:v>
      </x:c>
      <x:c r="C31" s="18" t="str">
        <x:f>IF($A31="","",IFERROR(IF(INDEX(Schedule_Data!$L:$L,MATCH($B$4&amp;"|"&amp;$A31,Schedule_Data!$Q:$Q,0))="TRUE","OFF",INDEX(Schedule_Data!$J:$J,MATCH($B$4&amp;"|"&amp;$A31,Schedule_Data!$Q:$Q,0))&amp;"-"&amp;INDEX(Schedule_Data!$K:$K,MATCH($B$4&amp;"|"&amp;$A31,Schedule_Data!$Q:$Q,0))),"no record"))</x:f>
        <x:v>no record</x:v>
      </x:c>
      <x:c r="D31" s="18" t="str">
        <x:f>IF($A31="","",IFERROR(IF(INDEX(Schedule_Data!$L:$L,MATCH($B$4&amp;"|"&amp;$A31,Schedule_Data!$Q:$Q,0))="TRUE","",INDEX(Schedule_Data!$H:$H,MATCH($B$4&amp;"|"&amp;$A31,Schedule_Data!$Q:$Q,0))&amp;"-"&amp;INDEX(Schedule_Data!$I:$I,MATCH($B$4&amp;"|"&amp;$A31,Schedule_Data!$Q:$Q,0))),""))</x:f>
      </x:c>
    </x:row>
    <x:row r="32">
      <x:c r="A32" s="18" t="str">
        <x:f>IFERROR(IF(DAY(DATE(VALUE(LEFT($E$4,4)),VALUE(MID($E$4,6,2)),1)+25)=26,TEXT(DATE(VALUE(LEFT($E$4,4)),VALUE(MID($E$4,6,2)),26),"yyyy-mm-dd"),""),"")</x:f>
        <x:v>2026-07-26</x:v>
      </x:c>
      <x:c r="B32" s="18" t="str">
        <x:f>IF($A32="","",TEXT(DATEVALUE($A32),"ddd"))</x:f>
        <x:v>Sun</x:v>
      </x:c>
      <x:c r="C32" s="18" t="str">
        <x:f>IF($A32="","",IFERROR(IF(INDEX(Schedule_Data!$L:$L,MATCH($B$4&amp;"|"&amp;$A32,Schedule_Data!$Q:$Q,0))="TRUE","OFF",INDEX(Schedule_Data!$J:$J,MATCH($B$4&amp;"|"&amp;$A32,Schedule_Data!$Q:$Q,0))&amp;"-"&amp;INDEX(Schedule_Data!$K:$K,MATCH($B$4&amp;"|"&amp;$A32,Schedule_Data!$Q:$Q,0))),"no record"))</x:f>
        <x:v>no record</x:v>
      </x:c>
      <x:c r="D32" s="18" t="str">
        <x:f>IF($A32="","",IFERROR(IF(INDEX(Schedule_Data!$L:$L,MATCH($B$4&amp;"|"&amp;$A32,Schedule_Data!$Q:$Q,0))="TRUE","",INDEX(Schedule_Data!$H:$H,MATCH($B$4&amp;"|"&amp;$A32,Schedule_Data!$Q:$Q,0))&amp;"-"&amp;INDEX(Schedule_Data!$I:$I,MATCH($B$4&amp;"|"&amp;$A32,Schedule_Data!$Q:$Q,0))),""))</x:f>
      </x:c>
    </x:row>
    <x:row r="33">
      <x:c r="A33" s="18" t="str">
        <x:f>IFERROR(IF(DAY(DATE(VALUE(LEFT($E$4,4)),VALUE(MID($E$4,6,2)),1)+26)=27,TEXT(DATE(VALUE(LEFT($E$4,4)),VALUE(MID($E$4,6,2)),27),"yyyy-mm-dd"),""),"")</x:f>
        <x:v>2026-07-27</x:v>
      </x:c>
      <x:c r="B33" s="18" t="str">
        <x:f>IF($A33="","",TEXT(DATEVALUE($A33),"ddd"))</x:f>
        <x:v>Mon</x:v>
      </x:c>
      <x:c r="C33" s="18" t="str">
        <x:f>IF($A33="","",IFERROR(IF(INDEX(Schedule_Data!$L:$L,MATCH($B$4&amp;"|"&amp;$A33,Schedule_Data!$Q:$Q,0))="TRUE","OFF",INDEX(Schedule_Data!$J:$J,MATCH($B$4&amp;"|"&amp;$A33,Schedule_Data!$Q:$Q,0))&amp;"-"&amp;INDEX(Schedule_Data!$K:$K,MATCH($B$4&amp;"|"&amp;$A33,Schedule_Data!$Q:$Q,0))),"no record"))</x:f>
        <x:v>no record</x:v>
      </x:c>
      <x:c r="D33" s="18" t="str">
        <x:f>IF($A33="","",IFERROR(IF(INDEX(Schedule_Data!$L:$L,MATCH($B$4&amp;"|"&amp;$A33,Schedule_Data!$Q:$Q,0))="TRUE","",INDEX(Schedule_Data!$H:$H,MATCH($B$4&amp;"|"&amp;$A33,Schedule_Data!$Q:$Q,0))&amp;"-"&amp;INDEX(Schedule_Data!$I:$I,MATCH($B$4&amp;"|"&amp;$A33,Schedule_Data!$Q:$Q,0))),""))</x:f>
      </x:c>
    </x:row>
    <x:row r="34">
      <x:c r="A34" s="18" t="str">
        <x:f>IFERROR(IF(DAY(DATE(VALUE(LEFT($E$4,4)),VALUE(MID($E$4,6,2)),1)+27)=28,TEXT(DATE(VALUE(LEFT($E$4,4)),VALUE(MID($E$4,6,2)),28),"yyyy-mm-dd"),""),"")</x:f>
        <x:v>2026-07-28</x:v>
      </x:c>
      <x:c r="B34" s="18" t="str">
        <x:f>IF($A34="","",TEXT(DATEVALUE($A34),"ddd"))</x:f>
        <x:v>Tue</x:v>
      </x:c>
      <x:c r="C34" s="18" t="str">
        <x:f>IF($A34="","",IFERROR(IF(INDEX(Schedule_Data!$L:$L,MATCH($B$4&amp;"|"&amp;$A34,Schedule_Data!$Q:$Q,0))="TRUE","OFF",INDEX(Schedule_Data!$J:$J,MATCH($B$4&amp;"|"&amp;$A34,Schedule_Data!$Q:$Q,0))&amp;"-"&amp;INDEX(Schedule_Data!$K:$K,MATCH($B$4&amp;"|"&amp;$A34,Schedule_Data!$Q:$Q,0))),"no record"))</x:f>
        <x:v>no record</x:v>
      </x:c>
      <x:c r="D34" s="18" t="str">
        <x:f>IF($A34="","",IFERROR(IF(INDEX(Schedule_Data!$L:$L,MATCH($B$4&amp;"|"&amp;$A34,Schedule_Data!$Q:$Q,0))="TRUE","",INDEX(Schedule_Data!$H:$H,MATCH($B$4&amp;"|"&amp;$A34,Schedule_Data!$Q:$Q,0))&amp;"-"&amp;INDEX(Schedule_Data!$I:$I,MATCH($B$4&amp;"|"&amp;$A34,Schedule_Data!$Q:$Q,0))),""))</x:f>
      </x:c>
    </x:row>
    <x:row r="35">
      <x:c r="A35" s="18" t="str">
        <x:f>IFERROR(IF(DAY(DATE(VALUE(LEFT($E$4,4)),VALUE(MID($E$4,6,2)),1)+28)=29,TEXT(DATE(VALUE(LEFT($E$4,4)),VALUE(MID($E$4,6,2)),29),"yyyy-mm-dd"),""),"")</x:f>
        <x:v>2026-07-29</x:v>
      </x:c>
      <x:c r="B35" s="18" t="str">
        <x:f>IF($A35="","",TEXT(DATEVALUE($A35),"ddd"))</x:f>
        <x:v>Wed</x:v>
      </x:c>
      <x:c r="C35" s="18" t="str">
        <x:f>IF($A35="","",IFERROR(IF(INDEX(Schedule_Data!$L:$L,MATCH($B$4&amp;"|"&amp;$A35,Schedule_Data!$Q:$Q,0))="TRUE","OFF",INDEX(Schedule_Data!$J:$J,MATCH($B$4&amp;"|"&amp;$A35,Schedule_Data!$Q:$Q,0))&amp;"-"&amp;INDEX(Schedule_Data!$K:$K,MATCH($B$4&amp;"|"&amp;$A35,Schedule_Data!$Q:$Q,0))),"no record"))</x:f>
        <x:v>no record</x:v>
      </x:c>
      <x:c r="D35" s="18" t="str">
        <x:f>IF($A35="","",IFERROR(IF(INDEX(Schedule_Data!$L:$L,MATCH($B$4&amp;"|"&amp;$A35,Schedule_Data!$Q:$Q,0))="TRUE","",INDEX(Schedule_Data!$H:$H,MATCH($B$4&amp;"|"&amp;$A35,Schedule_Data!$Q:$Q,0))&amp;"-"&amp;INDEX(Schedule_Data!$I:$I,MATCH($B$4&amp;"|"&amp;$A35,Schedule_Data!$Q:$Q,0))),""))</x:f>
      </x:c>
    </x:row>
    <x:row r="36">
      <x:c r="A36" s="18" t="str">
        <x:f>IFERROR(IF(DAY(DATE(VALUE(LEFT($E$4,4)),VALUE(MID($E$4,6,2)),1)+29)=30,TEXT(DATE(VALUE(LEFT($E$4,4)),VALUE(MID($E$4,6,2)),30),"yyyy-mm-dd"),""),"")</x:f>
        <x:v>2026-07-30</x:v>
      </x:c>
      <x:c r="B36" s="18" t="str">
        <x:f>IF($A36="","",TEXT(DATEVALUE($A36),"ddd"))</x:f>
        <x:v>Thu</x:v>
      </x:c>
      <x:c r="C36" s="18" t="str">
        <x:f>IF($A36="","",IFERROR(IF(INDEX(Schedule_Data!$L:$L,MATCH($B$4&amp;"|"&amp;$A36,Schedule_Data!$Q:$Q,0))="TRUE","OFF",INDEX(Schedule_Data!$J:$J,MATCH($B$4&amp;"|"&amp;$A36,Schedule_Data!$Q:$Q,0))&amp;"-"&amp;INDEX(Schedule_Data!$K:$K,MATCH($B$4&amp;"|"&amp;$A36,Schedule_Data!$Q:$Q,0))),"no record"))</x:f>
        <x:v>no record</x:v>
      </x:c>
      <x:c r="D36" s="18" t="str">
        <x:f>IF($A36="","",IFERROR(IF(INDEX(Schedule_Data!$L:$L,MATCH($B$4&amp;"|"&amp;$A36,Schedule_Data!$Q:$Q,0))="TRUE","",INDEX(Schedule_Data!$H:$H,MATCH($B$4&amp;"|"&amp;$A36,Schedule_Data!$Q:$Q,0))&amp;"-"&amp;INDEX(Schedule_Data!$I:$I,MATCH($B$4&amp;"|"&amp;$A36,Schedule_Data!$Q:$Q,0))),""))</x:f>
      </x:c>
    </x:row>
    <x:row r="37">
      <x:c r="A37" s="18" t="str">
        <x:f>IFERROR(IF(DAY(DATE(VALUE(LEFT($E$4,4)),VALUE(MID($E$4,6,2)),1)+30)=31,TEXT(DATE(VALUE(LEFT($E$4,4)),VALUE(MID($E$4,6,2)),31),"yyyy-mm-dd"),""),"")</x:f>
        <x:v>2026-07-31</x:v>
      </x:c>
      <x:c r="B37" s="18" t="str">
        <x:f>IF($A37="","",TEXT(DATEVALUE($A37),"ddd"))</x:f>
        <x:v>Fri</x:v>
      </x:c>
      <x:c r="C37" s="18" t="str">
        <x:f>IF($A37="","",IFERROR(IF(INDEX(Schedule_Data!$L:$L,MATCH($B$4&amp;"|"&amp;$A37,Schedule_Data!$Q:$Q,0))="TRUE","OFF",INDEX(Schedule_Data!$J:$J,MATCH($B$4&amp;"|"&amp;$A37,Schedule_Data!$Q:$Q,0))&amp;"-"&amp;INDEX(Schedule_Data!$K:$K,MATCH($B$4&amp;"|"&amp;$A37,Schedule_Data!$Q:$Q,0))),"no record"))</x:f>
        <x:v>no record</x:v>
      </x:c>
      <x:c r="D37" s="18" t="str">
        <x:f>IF($A37="","",IFERROR(IF(INDEX(Schedule_Data!$L:$L,MATCH($B$4&amp;"|"&amp;$A37,Schedule_Data!$Q:$Q,0))="TRUE","",INDEX(Schedule_Data!$H:$H,MATCH($B$4&amp;"|"&amp;$A37,Schedule_Data!$Q:$Q,0))&amp;"-"&amp;INDEX(Schedule_Data!$I:$I,MATCH($B$4&amp;"|"&amp;$A37,Schedule_Data!$Q:$Q,0))),""))</x:f>
      </x:c>
    </x:row>
  </x:sheetData>
  <x:mergeCells>
    <x:mergeCell ref="A2:H2"/>
    <x:mergeCell ref="A1:H1"/>
  </x:mergeCells>
  <x:pageMargins left="0.7" right="0.7" top="0.75" bottom="0.75" header="0.3" footer="0.3"/>
</x:worksheet>
</file>

<file path=xl/worksheets/sheet5.xml><?xml version="1.0" encoding="utf-8"?>
<x:worksheet xmlns:x="http://schemas.openxmlformats.org/spreadsheetml/2006/main">
  <x:sheetPr>
    <x:tabColor rgb="002D6A4F"/>
  </x:sheetPr>
  <x:sheetFormatPr baseColWidth="8" defaultRowHeight="15"/>
  <x:cols>
    <x:col min="1" max="1" width="10" customWidth="1"/>
    <x:col min="2" max="2" width="11" customWidth="1"/>
    <x:col min="3" max="3" width="18" customWidth="1"/>
    <x:col min="4" max="4" width="13" customWidth="1"/>
    <x:col min="5" max="5" width="12" customWidth="1"/>
    <x:col min="6" max="6" width="15" customWidth="1"/>
    <x:col min="7" max="7" width="10" customWidth="1"/>
    <x:col min="8" max="8" width="13" customWidth="1"/>
    <x:col min="9" max="9" width="13" customWidth="1"/>
    <x:col min="10" max="10" width="19" customWidth="1"/>
    <x:col min="11" max="11" width="13" customWidth="1"/>
    <x:col min="12" max="12" width="15" customWidth="1"/>
    <x:col min="13" max="13" width="12" customWidth="1"/>
    <x:col min="14" max="14" width="11" customWidth="1"/>
    <x:col min="15" max="15" width="16" customWidth="1"/>
  </x:cols>
  <x:sheetData>
    <x:row r="1">
      <x:c r="A1" s="19" t="inlineStr">
        <x:is>
          <x:t xml:space="preserve">team_id</x:t>
        </x:is>
      </x:c>
      <x:c r="B1" s="19" t="inlineStr">
        <x:is>
          <x:t xml:space="preserve">team_name</x:t>
        </x:is>
      </x:c>
      <x:c r="C1" s="19" t="inlineStr">
        <x:is>
          <x:t xml:space="preserve">leader_person_id</x:t>
        </x:is>
      </x:c>
      <x:c r="D1" s="19" t="inlineStr">
        <x:is>
          <x:t xml:space="preserve">leader_name</x:t>
        </x:is>
      </x:c>
      <x:c r="E1" s="19" t="inlineStr">
        <x:is>
          <x:t xml:space="preserve">department</x:t>
        </x:is>
      </x:c>
      <x:c r="F1" s="19" t="inlineStr">
        <x:is>
          <x:t xml:space="preserve">in_people_hub</x:t>
        </x:is>
      </x:c>
      <x:c r="G1" s="19" t="inlineStr">
        <x:is>
          <x:t xml:space="preserve">notes</x:t>
        </x:is>
      </x:c>
      <x:c r="H1" s="19" t="inlineStr">
        <x:is>
          <x:t xml:space="preserve">row_version</x:t>
        </x:is>
      </x:c>
      <x:c r="I1" s="19" t="inlineStr">
        <x:is>
          <x:t xml:space="preserve">sync_status</x:t>
        </x:is>
      </x:c>
      <x:c r="J1" s="19" t="inlineStr">
        <x:is>
          <x:t xml:space="preserve">last_modified_utc</x:t>
        </x:is>
      </x:c>
      <x:c r="K1" s="19" t="inlineStr">
        <x:is>
          <x:t xml:space="preserve">modified_by</x:t>
        </x:is>
      </x:c>
      <x:c r="L1" s="19" t="inlineStr">
        <x:is>
          <x:t xml:space="preserve">change_reason</x:t>
        </x:is>
      </x:c>
      <x:c r="M1" s="19" t="inlineStr">
        <x:is>
          <x:t xml:space="preserve">is_deleted</x:t>
        </x:is>
      </x:c>
      <x:c r="N1" s="19" t="inlineStr">
        <x:is>
          <x:t xml:space="preserve">source_id</x:t>
        </x:is>
      </x:c>
      <x:c r="O1" s="19" t="inlineStr">
        <x:is>
          <x:t xml:space="preserve">authority_rank</x:t>
        </x:is>
      </x:c>
    </x:row>
    <x:row r="2"/>
  </x:sheetData>
  <x:pageMargins left="0.7" right="0.7" top="0.75" bottom="0.75" header="0.3" footer="0.3"/>
  <x:tableParts count="1">
    <x:tablePart xmlns:r="http://schemas.openxmlformats.org/officeDocument/2006/relationships" r:id="R48748339d587445c"/>
  </x:tableParts>
</x:worksheet>
</file>

<file path=xl/worksheets/sheet6.xml><?xml version="1.0" encoding="utf-8"?>
<x:worksheet xmlns:x="http://schemas.openxmlformats.org/spreadsheetml/2006/main">
  <x:sheetPr>
    <x:tabColor rgb="00E9C46A"/>
  </x:sheetPr>
  <x:sheetFormatPr baseColWidth="8" defaultRowHeight="15"/>
  <x:cols>
    <x:col min="1" max="1" width="24" customWidth="1"/>
    <x:col min="2" max="2" width="14" customWidth="1"/>
    <x:col min="3" max="3" width="11" customWidth="1"/>
    <x:col min="4" max="4" width="11" customWidth="1"/>
    <x:col min="5" max="5" width="10" customWidth="1"/>
    <x:col min="6" max="6" width="10" customWidth="1"/>
  </x:cols>
  <x:sheetData>
    <x:row r="1">
      <x:c r="A1" s="19" t="inlineStr">
        <x:is>
          <x:t xml:space="preserve">schedule_import_batch_id</x:t>
        </x:is>
      </x:c>
      <x:c r="B1" s="19" t="inlineStr">
        <x:is>
          <x:t xml:space="preserve">imported_utc</x:t>
        </x:is>
      </x:c>
      <x:c r="C1" s="19" t="inlineStr">
        <x:is>
          <x:t xml:space="preserve">source_id</x:t>
        </x:is>
      </x:c>
      <x:c r="D1" s="19" t="inlineStr">
        <x:is>
          <x:t xml:space="preserve">row_count</x:t>
        </x:is>
      </x:c>
      <x:c r="E1" s="19" t="inlineStr">
        <x:is>
          <x:t xml:space="preserve">result</x:t>
        </x:is>
      </x:c>
      <x:c r="F1" s="19" t="inlineStr">
        <x:is>
          <x:t xml:space="preserve">notes</x:t>
        </x:is>
      </x:c>
    </x:row>
    <x:row r="2"/>
  </x:sheetData>
  <x:pageMargins left="0.7" right="0.7" top="0.75" bottom="0.75" header="0.3" footer="0.3"/>
  <x:tableParts count="1">
    <x:tablePart xmlns:r="http://schemas.openxmlformats.org/officeDocument/2006/relationships" r:id="Rfd10666930f24dab"/>
  </x:tableParts>
</x:worksheet>
</file>

<file path=xl/worksheets/sheet7.xml><?xml version="1.0" encoding="utf-8"?>
<x:worksheet xmlns:x="http://schemas.openxmlformats.org/spreadsheetml/2006/main">
  <x:sheetPr>
    <x:tabColor rgb="006C757D"/>
  </x:sheetPr>
  <x:sheetFormatPr baseColWidth="8" defaultRowHeight="15"/>
  <x:cols>
    <x:col min="1" max="1" width="19" customWidth="1"/>
    <x:col min="2" max="2" width="11" customWidth="1"/>
    <x:col min="3" max="3" width="13" customWidth="1"/>
    <x:col min="4" max="4" width="11" customWidth="1"/>
    <x:col min="5" max="5" width="12" customWidth="1"/>
    <x:col min="6" max="6" width="10" customWidth="1"/>
    <x:col min="7" max="7" width="13" customWidth="1"/>
    <x:col min="8" max="8" width="10" customWidth="1"/>
    <x:col min="9" max="9" width="10" customWidth="1"/>
    <x:col min="10" max="10" width="10" customWidth="1"/>
    <x:col min="11" max="11" width="10" customWidth="1"/>
    <x:col min="12" max="12" width="10" customWidth="1"/>
    <x:col min="13" max="13" width="15" customWidth="1"/>
    <x:col min="14" max="14" width="17" customWidth="1"/>
    <x:col min="15" max="15" width="10" customWidth="1"/>
    <x:col min="16" max="16" width="10" customWidth="1"/>
    <x:col min="17" max="17" width="10" customWidth="1"/>
    <x:col min="18" max="18" width="13" customWidth="1"/>
    <x:col min="19" max="19" width="13" customWidth="1"/>
    <x:col min="20" max="20" width="19" customWidth="1"/>
    <x:col min="21" max="21" width="13" customWidth="1"/>
    <x:col min="22" max="22" width="15" customWidth="1"/>
    <x:col min="23" max="23" width="12" customWidth="1"/>
    <x:col min="24" max="24" width="11" customWidth="1"/>
    <x:col min="25" max="25" width="16" customWidth="1"/>
  </x:cols>
  <x:sheetData>
    <x:row r="1">
      <x:c r="A1" s="19" t="inlineStr">
        <x:is>
          <x:t xml:space="preserve">schedule_entry_id</x:t>
        </x:is>
      </x:c>
      <x:c r="B1" s="19" t="inlineStr">
        <x:is>
          <x:t xml:space="preserve">person_id</x:t>
        </x:is>
      </x:c>
      <x:c r="C1" s="19" t="inlineStr">
        <x:is>
          <x:t xml:space="preserve">person_name</x:t>
        </x:is>
      </x:c>
      <x:c r="D1" s="19" t="inlineStr">
        <x:is>
          <x:t xml:space="preserve">team_name</x:t>
        </x:is>
      </x:c>
      <x:c r="E1" s="19" t="inlineStr">
        <x:is>
          <x:t xml:space="preserve">department</x:t>
        </x:is>
      </x:c>
      <x:c r="F1" s="19" t="inlineStr">
        <x:is>
          <x:t xml:space="preserve">date</x:t>
        </x:is>
      </x:c>
      <x:c r="G1" s="19" t="inlineStr">
        <x:is>
          <x:t xml:space="preserve">day_of_week</x:t>
        </x:is>
      </x:c>
      <x:c r="H1" s="19" t="inlineStr">
        <x:is>
          <x:t xml:space="preserve">uk_start</x:t>
        </x:is>
      </x:c>
      <x:c r="I1" s="19" t="inlineStr">
        <x:is>
          <x:t xml:space="preserve">uk_end</x:t>
        </x:is>
      </x:c>
      <x:c r="J1" s="19" t="inlineStr">
        <x:is>
          <x:t xml:space="preserve">sa_start</x:t>
        </x:is>
      </x:c>
      <x:c r="K1" s="19" t="inlineStr">
        <x:is>
          <x:t xml:space="preserve">sa_end</x:t>
        </x:is>
      </x:c>
      <x:c r="L1" s="19" t="inlineStr">
        <x:is>
          <x:t xml:space="preserve">is_off</x:t>
        </x:is>
      </x:c>
      <x:c r="M1" s="19" t="inlineStr">
        <x:is>
          <x:t xml:space="preserve">source_format</x:t>
        </x:is>
      </x:c>
      <x:c r="N1" s="19" t="inlineStr">
        <x:is>
          <x:t xml:space="preserve">import_batch_id</x:t>
        </x:is>
      </x:c>
      <x:c r="O1" s="19" t="inlineStr">
        <x:is>
          <x:t xml:space="preserve">notes</x:t>
        </x:is>
      </x:c>
      <x:c r="P1" s="19" t="inlineStr">
        <x:is>
          <x:t xml:space="preserve">pid_key</x:t>
        </x:is>
      </x:c>
      <x:c r="Q1" s="19" t="inlineStr">
        <x:is>
          <x:t xml:space="preserve">name_key</x:t>
        </x:is>
      </x:c>
      <x:c r="R1" s="19" t="inlineStr">
        <x:is>
          <x:t xml:space="preserve">row_version</x:t>
        </x:is>
      </x:c>
      <x:c r="S1" s="19" t="inlineStr">
        <x:is>
          <x:t xml:space="preserve">sync_status</x:t>
        </x:is>
      </x:c>
      <x:c r="T1" s="19" t="inlineStr">
        <x:is>
          <x:t xml:space="preserve">last_modified_utc</x:t>
        </x:is>
      </x:c>
      <x:c r="U1" s="19" t="inlineStr">
        <x:is>
          <x:t xml:space="preserve">modified_by</x:t>
        </x:is>
      </x:c>
      <x:c r="V1" s="19" t="inlineStr">
        <x:is>
          <x:t xml:space="preserve">change_reason</x:t>
        </x:is>
      </x:c>
      <x:c r="W1" s="19" t="inlineStr">
        <x:is>
          <x:t xml:space="preserve">is_deleted</x:t>
        </x:is>
      </x:c>
      <x:c r="X1" s="19" t="inlineStr">
        <x:is>
          <x:t xml:space="preserve">source_id</x:t>
        </x:is>
      </x:c>
      <x:c r="Y1" s="19" t="inlineStr">
        <x:is>
          <x:t xml:space="preserve">authority_rank</x:t>
        </x:is>
      </x:c>
    </x:row>
    <x:row r="2"/>
  </x:sheetData>
  <x:pageMargins left="0.7" right="0.7" top="0.75" bottom="0.75" header="0.3" footer="0.3"/>
  <x:tableParts count="1">
    <x:tablePart xmlns:r="http://schemas.openxmlformats.org/officeDocument/2006/relationships" r:id="Rc0cd62efc6444310"/>
  </x:tableParts>
</x:worksheet>
</file>

<file path=xl/worksheets/sheet8.xml><?xml version="1.0" encoding="utf-8"?>
<x:worksheet xmlns:x="http://schemas.openxmlformats.org/spreadsheetml/2006/main">
  <x:sheetPr>
    <x:tabColor rgb="00E9C46A"/>
  </x:sheetPr>
  <x:sheetFormatPr baseColWidth="8" defaultRowHeight="15"/>
  <x:cols>
    <x:col min="1" max="1" width="11" customWidth="1"/>
    <x:col min="2" max="2" width="13" customWidth="1"/>
    <x:col min="3" max="3" width="16" customWidth="1"/>
    <x:col min="4" max="4" width="13" customWidth="1"/>
    <x:col min="5" max="5" width="10" customWidth="1"/>
  </x:cols>
  <x:sheetData>
    <x:row r="1">
      <x:c r="A1" s="19" t="inlineStr">
        <x:is>
          <x:t xml:space="preserve">source_id</x:t>
        </x:is>
      </x:c>
      <x:c r="B1" s="19" t="inlineStr">
        <x:is>
          <x:t xml:space="preserve">source_name</x:t>
        </x:is>
      </x:c>
      <x:c r="C1" s="19" t="inlineStr">
        <x:is>
          <x:t xml:space="preserve">authority_rank</x:t>
        </x:is>
      </x:c>
      <x:c r="D1" s="19" t="inlineStr">
        <x:is>
          <x:t xml:space="preserve">source_type</x:t>
        </x:is>
      </x:c>
      <x:c r="E1" s="19" t="inlineStr">
        <x:is>
          <x:t xml:space="preserve">notes</x:t>
        </x:is>
      </x:c>
    </x:row>
    <x:row r="2">
      <x:c r="A2" s="18" t="inlineStr">
        <x:is>
          <x:t xml:space="preserve">MF-SRC-PEOPLEHUB-V3</x:t>
        </x:is>
      </x:c>
      <x:c r="B2" s="18" t="inlineStr">
        <x:is>
          <x:t xml:space="preserve">PeopleHub canonical identity</x:t>
        </x:is>
      </x:c>
      <x:c r="C2" s="18" t="n">
        <x:v>1</x:v>
      </x:c>
      <x:c r="D2" s="18" t="inlineStr">
        <x:is>
          <x:t xml:space="preserve">hub</x:t>
        </x:is>
      </x:c>
      <x:c r="E2" s="18" t="inlineStr">
        <x:is>
          <x:t xml:space="preserve">identity + org</x:t>
        </x:is>
      </x:c>
    </x:row>
    <x:row r="3">
      <x:c r="A3" s="20" t="inlineStr">
        <x:is>
          <x:t xml:space="preserve">MF-SRC-SCHEDULEHUB-V3</x:t>
        </x:is>
      </x:c>
      <x:c r="B3" s="20" t="inlineStr">
        <x:is>
          <x:t xml:space="preserve">ScheduleHub schedule-of-record</x:t>
        </x:is>
      </x:c>
      <x:c r="C3" s="20" t="n">
        <x:v>1</x:v>
      </x:c>
      <x:c r="D3" s="20" t="inlineStr">
        <x:is>
          <x:t xml:space="preserve">hub</x:t>
        </x:is>
      </x:c>
      <x:c r="E3" s="20" t="inlineStr">
        <x:is>
          <x:t xml:space="preserve">person-date schedule</x:t>
        </x:is>
      </x:c>
    </x:row>
    <x:row r="4">
      <x:c r="A4" s="18" t="inlineStr">
        <x:is>
          <x:t xml:space="preserve">MF-SRC-DEPTHUB-CCS-V3</x:t>
        </x:is>
      </x:c>
      <x:c r="B4" s="18" t="inlineStr">
        <x:is>
          <x:t xml:space="preserve">CCS-FNOL DepartmentHub</x:t>
        </x:is>
      </x:c>
      <x:c r="C4" s="18" t="n">
        <x:v>2</x:v>
      </x:c>
      <x:c r="D4" s="18" t="inlineStr">
        <x:is>
          <x:t xml:space="preserve">hub</x:t>
        </x:is>
      </x:c>
      <x:c r="E4" s="18" t="inlineStr">
        <x:is>
          <x:t xml:space="preserve">blueprint + rotation output</x:t>
        </x:is>
      </x:c>
    </x:row>
    <x:row r="5">
      <x:c r="A5" s="20" t="inlineStr">
        <x:is>
          <x:t xml:space="preserve">MF-SRC-CCS-LEGACY-IMPORT-V1</x:t>
        </x:is>
      </x:c>
      <x:c r="B5" s="20" t="inlineStr">
        <x:is>
          <x:t xml:space="preserve">Legacy claims hub import</x:t>
        </x:is>
      </x:c>
      <x:c r="C5" s="20" t="n">
        <x:v>3</x:v>
      </x:c>
      <x:c r="D5" s="20" t="inlineStr">
        <x:is>
          <x:t xml:space="preserve">import</x:t>
        </x:is>
      </x:c>
      <x:c r="E5" s="20" t="inlineStr">
        <x:is>
          <x:t xml:space="preserve">pre-v3 workbooks</x:t>
        </x:is>
      </x:c>
    </x:row>
    <x:row r="6">
      <x:c r="A6" s="18" t="inlineStr">
        <x:is>
          <x:t xml:space="preserve">MF-SRC-CCS-SYNTHETIC-TEST-V1</x:t>
        </x:is>
      </x:c>
      <x:c r="B6" s="18" t="inlineStr">
        <x:is>
          <x:t xml:space="preserve">Synthetic test fixtures</x:t>
        </x:is>
      </x:c>
      <x:c r="C6" s="18" t="n">
        <x:v>10</x:v>
      </x:c>
      <x:c r="D6" s="18" t="inlineStr">
        <x:is>
          <x:t xml:space="preserve">synthetic</x:t>
        </x:is>
      </x:c>
      <x:c r="E6" s="18" t="inlineStr">
        <x:is>
          <x:t xml:space="preserve">never outranks reviewed data</x:t>
        </x:is>
      </x:c>
    </x:row>
  </x:sheetData>
  <x:pageMargins left="0.7" right="0.7" top="0.75" bottom="0.75" header="0.3" footer="0.3"/>
  <x:tableParts count="1">
    <x:tablePart xmlns:r="http://schemas.openxmlformats.org/officeDocument/2006/relationships" r:id="R99ea7dd7dae64c7d"/>
  </x:tableParts>
</x:worksheet>
</file>

<file path=xl/worksheets/sheet9.xml><?xml version="1.0" encoding="utf-8"?>
<x:worksheet xmlns:x="http://schemas.openxmlformats.org/spreadsheetml/2006/main">
  <x:sheetPr>
    <x:tabColor rgb="00E9C46A"/>
  </x:sheetPr>
  <x:sheetFormatPr baseColWidth="8" defaultRowHeight="15"/>
  <x:cols>
    <x:col min="1" max="1" width="10" customWidth="1"/>
    <x:col min="2" max="2" width="10" customWidth="1"/>
    <x:col min="3" max="3" width="10" customWidth="1"/>
    <x:col min="4" max="4" width="10" customWidth="1"/>
    <x:col min="5" max="5" width="12" customWidth="1"/>
    <x:col min="6" max="6" width="14" customWidth="1"/>
    <x:col min="7" max="7" width="10" customWidth="1"/>
    <x:col min="8" max="8" width="13" customWidth="1"/>
    <x:col min="9" max="9" width="10" customWidth="1"/>
  </x:cols>
  <x:sheetData>
    <x:row r="1">
      <x:c r="A1" s="19" t="inlineStr">
        <x:is>
          <x:t xml:space="preserve">run_id</x:t>
        </x:is>
      </x:c>
      <x:c r="B1" s="19" t="inlineStr">
        <x:is>
          <x:t xml:space="preserve">run_utc</x:t>
        </x:is>
      </x:c>
      <x:c r="C1" s="19" t="inlineStr">
        <x:is>
          <x:t xml:space="preserve">app</x:t>
        </x:is>
      </x:c>
      <x:c r="D1" s="19" t="inlineStr">
        <x:is>
          <x:t xml:space="preserve">action</x:t>
        </x:is>
      </x:c>
      <x:c r="E1" s="19" t="inlineStr">
        <x:is>
          <x:t xml:space="preserve">table_name</x:t>
        </x:is>
      </x:c>
      <x:c r="F1" s="19" t="inlineStr">
        <x:is>
          <x:t xml:space="preserve">rows_written</x:t>
        </x:is>
      </x:c>
      <x:c r="G1" s="19" t="inlineStr">
        <x:is>
          <x:t xml:space="preserve">result</x:t>
        </x:is>
      </x:c>
      <x:c r="H1" s="19" t="inlineStr">
        <x:is>
          <x:t xml:space="preserve">flow_run_id</x:t>
        </x:is>
      </x:c>
      <x:c r="I1" s="19" t="inlineStr">
        <x:is>
          <x:t xml:space="preserve">notes</x:t>
        </x:is>
      </x:c>
    </x:row>
    <x:row r="2">
      <x:c r="A2" s="18" t="inlineStr">
        <x:is>
          <x:t xml:space="preserve">RUN-000001</x:t>
        </x:is>
      </x:c>
      <x:c r="B2" s="18" t="inlineStr">
        <x:is>
          <x:t xml:space="preserve">2026-07-19T00:00:00Z</x:t>
        </x:is>
      </x:c>
      <x:c r="C2" s="18" t="inlineStr">
        <x:is>
          <x:t xml:space="preserve">ssv3_builder</x:t>
        </x:is>
      </x:c>
      <x:c r="D2" s="18" t="inlineStr">
        <x:is>
          <x:t xml:space="preserve">generate</x:t>
        </x:is>
      </x:c>
      <x:c r="E2" s="18" t="inlineStr">
        <x:is>
          <x:t xml:space="preserve">ALL</x:t>
        </x:is>
      </x:c>
      <x:c r="F2" s="18" t="n">
        <x:v>0</x:v>
      </x:c>
      <x:c r="G2" s="18" t="inlineStr">
        <x:is>
          <x:t xml:space="preserve">OK</x:t>
        </x:is>
      </x:c>
      <x:c r="H2" s="18" t="inlineStr">
        <x:is>
          <x:t xml:space="preserve"/>
        </x:is>
      </x:c>
      <x:c r="I2" s="18" t="inlineStr">
        <x:is>
          <x:t xml:space="preserve">initial build</x:t>
        </x:is>
      </x:c>
    </x:row>
  </x:sheetData>
  <x:pageMargins left="0.7" right="0.7" top="0.75" bottom="0.75" header="0.3" footer="0.3"/>
  <x:tableParts count="1">
    <x:tablePart xmlns:r="http://schemas.openxmlformats.org/officeDocument/2006/relationships" r:id="Rb606f897f9ff4434"/>
  </x:tableParts>
</x:worksheet>
</file>

<file path=xl/worksheets/sheet10.xml><?xml version="1.0" encoding="utf-8"?>
<x:worksheet xmlns:x="http://schemas.openxmlformats.org/spreadsheetml/2006/main">
  <x:sheetPr>
    <x:tabColor rgb="00E9C46A"/>
  </x:sheetPr>
  <x:sheetFormatPr baseColWidth="8" defaultRowHeight="15"/>
  <x:cols>
    <x:col min="1" max="1" width="25" hidden="0" customWidth="1"/>
    <x:col min="2" max="2" width="52" hidden="0" customWidth="1"/>
  </x:cols>
  <x:sheetData>
    <x:row r="1">
      <x:c r="A1" s="19" t="inlineStr">
        <x:is>
          <x:t xml:space="preserve">key</x:t>
        </x:is>
      </x:c>
      <x:c r="B1" s="19" t="inlineStr">
        <x:is>
          <x:t xml:space="preserve">value</x:t>
        </x:is>
      </x:c>
    </x:row>
    <x:row r="2">
      <x:c r="A2" s="18" t="inlineStr">
        <x:is>
          <x:t xml:space="preserve">workbook_id</x:t>
        </x:is>
      </x:c>
      <x:c r="B2" s="18" t="inlineStr">
        <x:is>
          <x:t xml:space="preserve">WB-SCHEDULEHUB-V3</x:t>
        </x:is>
      </x:c>
    </x:row>
    <x:row r="3">
      <x:c r="A3" s="20" t="inlineStr">
        <x:is>
          <x:t xml:space="preserve">workbook_name</x:t>
        </x:is>
      </x:c>
      <x:c r="B3" s="20" t="inlineStr">
        <x:is>
          <x:t xml:space="preserve">ScheduleHub v3</x:t>
        </x:is>
      </x:c>
    </x:row>
    <x:row r="4">
      <x:c r="A4" s="18" t="inlineStr">
        <x:is>
          <x:t xml:space="preserve">contract_version</x:t>
        </x:is>
      </x:c>
      <x:c r="B4" s="18" t="str">
        <x:v>3.1.0</x:v>
      </x:c>
    </x:row>
    <x:row r="5">
      <x:c r="A5" s="20" t="inlineStr">
        <x:is>
          <x:t xml:space="preserve">visual_system</x:t>
        </x:is>
      </x:c>
      <x:c r="B5" s="20" t="str">
        <x:v>SyncSheets v3.1 (v3 visual baseline)</x:v>
      </x:c>
    </x:row>
    <x:row r="6">
      <x:c r="A6" s="18" t="inlineStr">
        <x:is>
          <x:t xml:space="preserve">identity_key</x:t>
        </x:is>
      </x:c>
      <x:c r="B6" s="18" t="str">
        <x:v>person_id (immutable; external identifiers are aliases)</x:v>
      </x:c>
    </x:row>
    <x:row r="7">
      <x:c r="A7" s="20" t="inlineStr">
        <x:is>
          <x:t xml:space="preserve">generated_utc</x:t>
        </x:is>
      </x:c>
      <x:c r="B7" s="20" t="n">
        <x:v>46244</x:v>
      </x:c>
    </x:row>
    <x:row r="8">
      <x:c r="A8" s="18" t="inlineStr">
        <x:is>
          <x:t xml:space="preserve">generator</x:t>
        </x:is>
      </x:c>
      <x:c r="B8" s="18" t="str">
        <x:v>Sync v3.1 template pipeline</x:v>
      </x:c>
    </x:row>
    <x:row r="9">
      <x:c r="A9" s="20" t="inlineStr">
        <x:is>
          <x:t xml:space="preserve">machine_header_row</x:t>
        </x:is>
      </x:c>
      <x:c r="B9" s="20" t="str">
        <x:v>1</x:v>
      </x:c>
    </x:row>
    <x:row r="10">
      <x:c r="A10" s="18" t="inlineStr">
        <x:is>
          <x:t xml:space="preserve">no_external_links</x:t>
        </x:is>
      </x:c>
      <x:c r="B10" s="18" t="str">
        <x:v>TRUE</x:v>
      </x:c>
    </x:row>
    <x:row r="11">
      <x:c r="A11" s="29" t="str">
        <x:v>pack_contract</x:v>
      </x:c>
      <x:c r="B11" s="24" t="str">
        <x:v>syncsheets.pack-manifest/1</x:v>
      </x:c>
    </x:row>
    <x:row r="12">
      <x:c r="A12" s="30" t="str">
        <x:v>month_mode</x:v>
      </x:c>
      <x:c r="B12" s="26" t="str">
        <x:v>rolling-configurable-at-export</x:v>
      </x:c>
    </x:row>
    <x:row r="13">
      <x:c r="A13" s="30" t="str">
        <x:v>microsoft_targets</x:v>
      </x:c>
      <x:c r="B13" s="26" t="str">
        <x:v>Excel Desktop; SharePoint; Excel Online</x:v>
      </x:c>
    </x:row>
    <x:row r="14">
      <x:c r="A14" s="30" t="str">
        <x:v>link_mode</x:v>
      </x:c>
      <x:c r="B14" s="26" t="str">
        <x:v>value-backed hierarchy; SharePoint-ready</x:v>
      </x:c>
    </x:row>
    <x:row r="15">
      <x:c r="A15" s="30" t="str">
        <x:v>agent_scope</x:v>
      </x:c>
      <x:c r="B15" s="26" t="str">
        <x:v>role-scoped</x:v>
      </x:c>
    </x:row>
    <x:row r="16">
      <x:c r="A16" s="31" t="str">
        <x:v>private_detail_policy</x:v>
      </x:c>
      <x:c r="B16" s="28" t="str">
        <x:v>scope contract enforced</x:v>
      </x:c>
    </x:row>
  </x:sheetData>
  <x:pageMargins left="0.7" right="0.7" top="0.75" bottom="0.75" header="0.3" footer="0.3"/>
  <x:tableParts count="1">
    <x:tablePart xmlns:r="http://schemas.openxmlformats.org/officeDocument/2006/relationships" r:id="Rba8e1583b2814d33"/>
  </x:tableParts>
</x:worksheet>
</file>

<file path=xl/worksheets/sheet11.xml><?xml version="1.0" encoding="utf-8"?>
<x:worksheet xmlns:x="http://schemas.openxmlformats.org/spreadsheetml/2006/main">
  <x:sheetPr>
    <x:tabColor rgb="00E9C46A"/>
  </x:sheetPr>
  <x:sheetFormatPr baseColWidth="8" defaultRowHeight="15"/>
  <x:cols>
    <x:col min="1" max="1" width="13" customWidth="1"/>
    <x:col min="2" max="2" width="10" customWidth="1"/>
    <x:col min="3" max="3" width="10" customWidth="1"/>
    <x:col min="4" max="4" width="14" customWidth="1"/>
    <x:col min="5" max="5" width="11" customWidth="1"/>
  </x:cols>
  <x:sheetData>
    <x:row r="1">
      <x:c r="A1" s="19" t="inlineStr">
        <x:is>
          <x:t xml:space="preserve">scenario_id</x:t>
        </x:is>
      </x:c>
      <x:c r="B1" s="19" t="inlineStr">
        <x:is>
          <x:t xml:space="preserve">family</x:t>
        </x:is>
      </x:c>
      <x:c r="C1" s="19" t="inlineStr">
        <x:is>
          <x:t xml:space="preserve">purpose</x:t>
        </x:is>
      </x:c>
      <x:c r="D1" s="19" t="inlineStr">
        <x:is>
          <x:t xml:space="preserve">record_count</x:t>
        </x:is>
      </x:c>
      <x:c r="E1" s="19" t="inlineStr">
        <x:is>
          <x:t xml:space="preserve">source_id</x:t>
        </x:is>
      </x:c>
    </x:row>
    <x:row r="2"/>
  </x:sheetData>
  <x:pageMargins left="0.7" right="0.7" top="0.75" bottom="0.75" header="0.3" footer="0.3"/>
  <x:tableParts count="1">
    <x:tablePart xmlns:r="http://schemas.openxmlformats.org/officeDocument/2006/relationships" r:id="R28f78ffbdda649a2"/>
  </x:tableParts>
</x:worksheet>
</file>

<file path=xl/worksheets/sheet12.xml><?xml version="1.0" encoding="utf-8"?>
<x:worksheet xmlns:x="http://schemas.openxmlformats.org/spreadsheetml/2006/main">
  <x:sheetPr>
    <x:tabColor rgb="00ADB5BD"/>
  </x:sheetPr>
  <x:sheetViews>
    <x:sheetView showGridLines="0" workbookViewId="0"/>
  </x:sheetViews>
  <x:sheetFormatPr baseColWidth="8" defaultRowHeight="15"/>
  <x:cols>
    <x:col min="1" max="1" width="14" customWidth="1"/>
    <x:col min="2" max="2" width="14" customWidth="1"/>
    <x:col min="3" max="3" width="14" customWidth="1"/>
    <x:col min="4" max="4" width="14" customWidth="1"/>
    <x:col min="5" max="5" width="14" customWidth="1"/>
    <x:col min="6" max="6" width="14" customWidth="1"/>
    <x:col min="7" max="7" width="14" customWidth="1"/>
    <x:col min="8" max="8" width="14" customWidth="1"/>
    <x:col min="9" max="9" width="14" customWidth="1"/>
  </x:cols>
  <x:sheetData>
    <x:row r="1">
      <x:c r="A1" s="21" t="inlineStr">
        <x:is>
          <x:t xml:space="preserve">wish_tokens</x:t>
        </x:is>
      </x:c>
      <x:c r="B1" s="21" t="inlineStr">
        <x:is>
          <x:t xml:space="preserve">leave_types</x:t>
        </x:is>
      </x:c>
      <x:c r="C1" s="21" t="inlineStr">
        <x:is>
          <x:t xml:space="preserve">statuses</x:t>
        </x:is>
      </x:c>
      <x:c r="D1" s="21" t="inlineStr">
        <x:is>
          <x:t xml:space="preserve">sync_status</x:t>
        </x:is>
      </x:c>
      <x:c r="E1" s="21" t="inlineStr">
        <x:is>
          <x:t xml:space="preserve">role_types</x:t>
        </x:is>
      </x:c>
      <x:c r="F1" s="21" t="inlineStr">
        <x:is>
          <x:t xml:space="preserve">off_flags</x:t>
        </x:is>
      </x:c>
      <x:c r="G1" s="21" t="inlineStr">
        <x:is>
          <x:t xml:space="preserve">departments</x:t>
        </x:is>
      </x:c>
      <x:c r="H1" s="21" t="inlineStr">
        <x:is>
          <x:t xml:space="preserve">agents</x:t>
        </x:is>
      </x:c>
      <x:c r="I1" s="21" t="inlineStr">
        <x:is>
          <x:t xml:space="preserve">months</x:t>
        </x:is>
      </x:c>
    </x:row>
    <x:row r="2">
      <x:c r="A2" s="9" t="inlineStr">
        <x:is>
          <x:t xml:space="preserve">FULL OT</x:t>
        </x:is>
      </x:c>
      <x:c r="B2" s="9" t="inlineStr">
        <x:is>
          <x:t xml:space="preserve">Annual</x:t>
        </x:is>
      </x:c>
      <x:c r="C2" s="9" t="inlineStr">
        <x:is>
          <x:t xml:space="preserve">Pending</x:t>
        </x:is>
      </x:c>
      <x:c r="D2" s="9" t="inlineStr">
        <x:is>
          <x:t xml:space="preserve">Draft</x:t>
        </x:is>
      </x:c>
      <x:c r="E2" s="9" t="inlineStr">
        <x:is>
          <x:t xml:space="preserve">Agent</x:t>
        </x:is>
      </x:c>
      <x:c r="F2" s="9" t="inlineStr">
        <x:is>
          <x:t xml:space="preserve">TRUE</x:t>
        </x:is>
      </x:c>
      <x:c r="G2" s="9" t="inlineStr">
        <x:is>
          <x:t xml:space="preserve">CCS-FNOL</x:t>
        </x:is>
      </x:c>
    </x:row>
    <x:row r="3">
      <x:c r="A3" s="9" t="inlineStr">
        <x:is>
          <x:t xml:space="preserve">AM OT</x:t>
        </x:is>
      </x:c>
      <x:c r="B3" s="9" t="inlineStr">
        <x:is>
          <x:t xml:space="preserve">Sick</x:t>
        </x:is>
      </x:c>
      <x:c r="C3" s="9" t="inlineStr">
        <x:is>
          <x:t xml:space="preserve">Approved</x:t>
        </x:is>
      </x:c>
      <x:c r="D3" s="9" t="inlineStr">
        <x:is>
          <x:t xml:space="preserve">Ready</x:t>
        </x:is>
      </x:c>
      <x:c r="E3" s="9" t="inlineStr">
        <x:is>
          <x:t xml:space="preserve">Team Lead</x:t>
        </x:is>
      </x:c>
      <x:c r="F3" s="9" t="inlineStr">
        <x:is>
          <x:t xml:space="preserve">FALSE</x:t>
        </x:is>
      </x:c>
      <x:c r="G3" s="9" t="inlineStr">
        <x:is>
          <x:t xml:space="preserve">Case Handling</x:t>
        </x:is>
      </x:c>
    </x:row>
    <x:row r="4">
      <x:c r="A4" s="9" t="inlineStr">
        <x:is>
          <x:t xml:space="preserve">PM OT</x:t>
        </x:is>
      </x:c>
      <x:c r="B4" s="9" t="inlineStr">
        <x:is>
          <x:t xml:space="preserve">Family</x:t>
        </x:is>
      </x:c>
      <x:c r="C4" s="9" t="inlineStr">
        <x:is>
          <x:t xml:space="preserve">Declined</x:t>
        </x:is>
      </x:c>
      <x:c r="D4" s="9" t="inlineStr">
        <x:is>
          <x:t xml:space="preserve">Synced</x:t>
        </x:is>
      </x:c>
      <x:c r="E4" s="9" t="inlineStr">
        <x:is>
          <x:t xml:space="preserve">Supervisor</x:t>
        </x:is>
      </x:c>
      <x:c r="G4" s="9" t="inlineStr">
        <x:is>
          <x:t xml:space="preserve">Home Claims</x:t>
        </x:is>
      </x:c>
    </x:row>
    <x:row r="5">
      <x:c r="A5" s="9" t="inlineStr">
        <x:is>
          <x:t xml:space="preserve">MAYBE</x:t>
        </x:is>
      </x:c>
      <x:c r="B5" s="9" t="inlineStr">
        <x:is>
          <x:t xml:space="preserve">Study</x:t>
        </x:is>
      </x:c>
      <x:c r="C5" s="9" t="inlineStr">
        <x:is>
          <x:t xml:space="preserve">Cancelled</x:t>
        </x:is>
      </x:c>
      <x:c r="D5" s="9" t="inlineStr">
        <x:is>
          <x:t xml:space="preserve">Review</x:t>
        </x:is>
      </x:c>
      <x:c r="E5" s="9" t="inlineStr">
        <x:is>
          <x:t xml:space="preserve">CCL</x:t>
        </x:is>
      </x:c>
      <x:c r="G5" s="9" t="inlineStr">
        <x:is>
          <x:t xml:space="preserve">TPA</x:t>
        </x:is>
      </x:c>
    </x:row>
    <x:row r="6">
      <x:c r="A6" s="9" t="inlineStr">
        <x:is>
          <x:t xml:space="preserve">UNAVAILABLE</x:t>
        </x:is>
      </x:c>
      <x:c r="B6" s="9" t="inlineStr">
        <x:is>
          <x:t xml:space="preserve">Unpaid</x:t>
        </x:is>
      </x:c>
      <x:c r="D6" s="9" t="inlineStr">
        <x:is>
          <x:t xml:space="preserve">Conflict</x:t>
        </x:is>
      </x:c>
      <x:c r="E6" s="9" t="inlineStr">
        <x:is>
          <x:t xml:space="preserve">Manager</x:t>
        </x:is>
      </x:c>
      <x:c r="G6" s="9" t="inlineStr">
        <x:is>
          <x:t xml:space="preserve">TPPD-DC</x:t>
        </x:is>
      </x:c>
    </x:row>
    <x:row r="7">
      <x:c r="B7" s="9" t="inlineStr">
        <x:is>
          <x:t xml:space="preserve">Other</x:t>
        </x:is>
      </x:c>
      <x:c r="D7" s="9" t="inlineStr">
        <x:is>
          <x:t xml:space="preserve">Archived</x:t>
        </x:is>
      </x:c>
      <x:c r="E7" s="9" t="inlineStr">
        <x:is>
          <x:t xml:space="preserve">Support</x:t>
        </x:is>
      </x:c>
      <x:c r="G7" s="9" t="inlineStr">
        <x:is>
          <x:t xml:space="preserve">Messenger</x:t>
        </x:is>
      </x:c>
    </x:row>
    <x:row r="8">
      <x:c r="E8" s="9" t="inlineStr">
        <x:is>
          <x:t xml:space="preserve">YAT</x:t>
        </x:is>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6" hidden="0" customWidth="1"/>
  </x:cols>
  <x:sheetData>
    <x:row r="1" ht="26" customHeight="1">
      <x:c r="A1" s="33" t="str">
        <x:v>PACK MANIFEST - SyncSheets v3.1</x:v>
      </x:c>
      <x:c r="B1" s="33"/>
      <x:c r="C1" s="33"/>
      <x:c r="D1" s="33"/>
      <x:c r="E1" s="33"/>
      <x:c r="F1" s="33"/>
      <x:c r="G1" s="33"/>
      <x:c r="H1" s="33"/>
    </x:row>
    <x:row r="2" ht="22" customHeight="1">
      <x:c r="A2" s="34" t="str">
        <x:v>Generated by Sync. File relationships are identity- and manifest-backed; values publish through Sync or the approved SharePoint flow.</x:v>
      </x:c>
      <x:c r="B2" s="34"/>
      <x:c r="C2" s="34"/>
      <x:c r="D2" s="34"/>
      <x:c r="E2" s="34"/>
      <x:c r="F2" s="34"/>
      <x:c r="G2" s="34"/>
      <x:c r="H2" s="34"/>
    </x:row>
    <x:row r="4" ht="28" customHeight="1">
      <x:c r="A4" s="37" t="str">
        <x:v>pack_id</x:v>
      </x:c>
      <x:c r="B4" s="37" t="str">
        <x:v>file_id</x:v>
      </x:c>
      <x:c r="C4" s="37" t="str">
        <x:v>workbook_kind</x:v>
      </x:c>
      <x:c r="D4" s="37" t="str">
        <x:v>department_id</x:v>
      </x:c>
      <x:c r="E4" s="37" t="str">
        <x:v>scope_id</x:v>
      </x:c>
      <x:c r="F4" s="37" t="str">
        <x:v>period_start</x:v>
      </x:c>
      <x:c r="G4" s="37" t="str">
        <x:v>period_end</x:v>
      </x:c>
      <x:c r="H4" s="37" t="str">
        <x:v>contract_version</x:v>
      </x:c>
    </x:row>
    <x:row r="5">
      <x:c r="A5" s="40" t="str">
        <x:v>assigned-at-export</x:v>
      </x:c>
      <x:c r="B5" s="41" t="str">
        <x:v>assigned-at-export</x:v>
      </x:c>
      <x:c r="C5" s="41" t="str">
        <x:v>template</x:v>
      </x:c>
      <x:c r="D5" s="41" t="str"/>
      <x:c r="E5" s="41" t="str"/>
      <x:c r="F5" s="41" t="str"/>
      <x:c r="G5" s="41" t="str"/>
      <x:c r="H5" s="42" t="str">
        <x:v>3.1.0</x:v>
      </x:c>
    </x:row>
    <x:row r="8" ht="28" customHeight="1">
      <x:c r="A8" s="37" t="str">
        <x:v>relationship_id</x:v>
      </x:c>
      <x:c r="B8" s="37" t="str">
        <x:v>from_file_id</x:v>
      </x:c>
      <x:c r="C8" s="37" t="str">
        <x:v>to_file_id</x:v>
      </x:c>
      <x:c r="D8" s="37" t="str">
        <x:v>record_family</x:v>
      </x:c>
      <x:c r="E8" s="37" t="str">
        <x:v>direction</x:v>
      </x:c>
      <x:c r="F8" s="37" t="str">
        <x:v>mechanism</x:v>
      </x:c>
      <x:c r="G8" s="37" t="str">
        <x:v>freshness</x:v>
      </x:c>
      <x:c r="H8" s="37" t="str">
        <x:v>notes</x:v>
      </x:c>
    </x:row>
    <x:row r="9">
      <x:c r="A9" s="45" t="str">
        <x:v>assigned-at-export</x:v>
      </x:c>
      <x:c r="B9" s="46" t="str"/>
      <x:c r="C9" s="46" t="str"/>
      <x:c r="D9" s="46" t="str"/>
      <x:c r="E9" s="46" t="str"/>
      <x:c r="F9" s="46" t="str">
        <x:v>Sync value publish</x:v>
      </x:c>
      <x:c r="G9" s="46" t="str">
        <x:v>Pending first publish</x:v>
      </x:c>
      <x:c r="H9" s="47" t="str">
        <x:v>No fragile cross-file formula dependency</x:v>
      </x:c>
    </x:row>
  </x:sheetData>
  <x:mergeCells>
    <x:mergeCell ref="A1:H1"/>
    <x:mergeCell ref="A2:H2"/>
  </x:mergeCells>
  <x:pageMargins left="0.7" right="0.7" top="0.75" bottom="0.75" header="0.3" footer="0.3"/>
</x:worksheet>
</file>